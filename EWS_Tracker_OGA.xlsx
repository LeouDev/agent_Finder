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shboard" sheetId="1" state="visible" r:id="rId3"/>
    <sheet name="Team Leou" sheetId="2" state="visible" r:id="rId4"/>
    <sheet name="Team Alpha" sheetId="3" state="visible" r:id="rId5"/>
    <sheet name="Team Beta" sheetId="4" state="visible" r:id="rId6"/>
    <sheet name="Team Gamma" sheetId="5" state="visible" r:id="rId7"/>
    <sheet name="⚫ Confirmed Attrition" sheetId="6" state="visible" r:id="rId8"/>
    <sheet name="📋 Legend &amp; Guid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<sst xmlns="http://schemas.openxmlformats.org/spreadsheetml/2006/main" count="1270" uniqueCount="201">
  <si>
    <t xml:space="preserve">📊  EARLY WARNING SIGNS — OPERATIONS DASHBOARD</t>
  </si>
  <si>
    <t xml:space="preserve">TEAM-LEVEL RISK SUMMARY</t>
  </si>
  <si>
    <t xml:space="preserve">Team</t>
  </si>
  <si>
    <t xml:space="preserve">Total
Headcount</t>
  </si>
  <si>
    <t xml:space="preserve">🟢 GREEN</t>
  </si>
  <si>
    <t xml:space="preserve">🟡 YELLOW</t>
  </si>
  <si>
    <t xml:space="preserve">🔴 RED</t>
  </si>
  <si>
    <t xml:space="preserve">⚫ BLACK</t>
  </si>
  <si>
    <t xml:space="preserve">% At Risk
(RED+BLACK)</t>
  </si>
  <si>
    <t xml:space="preserve">Avg Risk Score</t>
  </si>
  <si>
    <t xml:space="preserve">Top Indicator</t>
  </si>
  <si>
    <t xml:space="preserve">Action Priority</t>
  </si>
  <si>
    <t xml:space="preserve">Team Leou</t>
  </si>
  <si>
    <t xml:space="preserve">Low Productivity</t>
  </si>
  <si>
    <t xml:space="preserve">Team Alpha</t>
  </si>
  <si>
    <t xml:space="preserve">Disengagement in Team Huddles</t>
  </si>
  <si>
    <t xml:space="preserve">Team Beta</t>
  </si>
  <si>
    <t xml:space="preserve">Decline in QA Scores</t>
  </si>
  <si>
    <t xml:space="preserve">Team Gamma</t>
  </si>
  <si>
    <t xml:space="preserve">Requesting LOA/Personal Leaves</t>
  </si>
  <si>
    <t xml:space="preserve">TOTAL / AVERAGE</t>
  </si>
  <si>
    <t xml:space="preserve">TOTAL HEADCOUNT</t>
  </si>
  <si>
    <t xml:space="preserve">🟢 STABLE</t>
  </si>
  <si>
    <t xml:space="preserve">🟡 MONITORING</t>
  </si>
  <si>
    <t xml:space="preserve">🔴 HIGH RISK</t>
  </si>
  <si>
    <t xml:space="preserve">⚫ CONFIRMED ATTRITION</t>
  </si>
  <si>
    <t xml:space="preserve">💡  NAVIGATION: Use the sheet tabs below to switch between teams. Update Risk Status in each team tab — this Dashboard updates automatically via formulas. Employees marked ⚫ BLACK should be copied to the '⚫ Confirmed Attrition' sheet.</t>
  </si>
  <si>
    <t xml:space="preserve">🔍  EARLY WARNING SIGNS TRACKER  —  TEAM LEOU</t>
  </si>
  <si>
    <t xml:space="preserve">#</t>
  </si>
  <si>
    <t xml:space="preserve">Employee Name</t>
  </si>
  <si>
    <t xml:space="preserve">Position</t>
  </si>
  <si>
    <t xml:space="preserve">Date Hired</t>
  </si>
  <si>
    <t xml:space="preserve">Risk Status</t>
  </si>
  <si>
    <t xml:space="preserve">Frequent Tardiness</t>
  </si>
  <si>
    <t xml:space="preserve">Increased Absences</t>
  </si>
  <si>
    <t xml:space="preserve">Job Hunting Signals</t>
  </si>
  <si>
    <t xml:space="preserve">Conflicts with Teammates</t>
  </si>
  <si>
    <t xml:space="preserve">Reduced Initiative</t>
  </si>
  <si>
    <t xml:space="preserve">Withdrawal from Social Activities</t>
  </si>
  <si>
    <t xml:space="preserve">Risk Score</t>
  </si>
  <si>
    <t xml:space="preserve">TL Notes</t>
  </si>
  <si>
    <t xml:space="preserve">Last Updated</t>
  </si>
  <si>
    <t xml:space="preserve">Xena Garcia</t>
  </si>
  <si>
    <t xml:space="preserve">QA Analyst</t>
  </si>
  <si>
    <t xml:space="preserve">03/01/2020</t>
  </si>
  <si>
    <t xml:space="preserve">YES</t>
  </si>
  <si>
    <t xml:space="preserve">NO</t>
  </si>
  <si>
    <t xml:space="preserve">Jose Concepcion</t>
  </si>
  <si>
    <t xml:space="preserve">Subject Matter Expert</t>
  </si>
  <si>
    <t xml:space="preserve">09/01/2022</t>
  </si>
  <si>
    <t xml:space="preserve">Ivy Dela Cruz</t>
  </si>
  <si>
    <t xml:space="preserve">Trainer</t>
  </si>
  <si>
    <t xml:space="preserve">12/01/2019</t>
  </si>
  <si>
    <t xml:space="preserve">Trisha Ramos</t>
  </si>
  <si>
    <t xml:space="preserve">Senior Specialist</t>
  </si>
  <si>
    <t xml:space="preserve">09/01/2023</t>
  </si>
  <si>
    <t xml:space="preserve">Ems Garcia</t>
  </si>
  <si>
    <t xml:space="preserve">02/01/2019</t>
  </si>
  <si>
    <t xml:space="preserve">Alma Concepcion</t>
  </si>
  <si>
    <t xml:space="preserve">09/01/2020</t>
  </si>
  <si>
    <t xml:space="preserve">Ric Cruz</t>
  </si>
  <si>
    <t xml:space="preserve">10/01/2019</t>
  </si>
  <si>
    <t xml:space="preserve">Uma Mendoza</t>
  </si>
  <si>
    <t xml:space="preserve">05/01/2020</t>
  </si>
  <si>
    <t xml:space="preserve">Ana Santos</t>
  </si>
  <si>
    <t xml:space="preserve">PA Specialist</t>
  </si>
  <si>
    <t xml:space="preserve">11/01/2019</t>
  </si>
  <si>
    <t xml:space="preserve">Carlo Flores</t>
  </si>
  <si>
    <t xml:space="preserve">04/01/2020</t>
  </si>
  <si>
    <t xml:space="preserve">Trisha Rivera</t>
  </si>
  <si>
    <t xml:space="preserve">01/01/2023</t>
  </si>
  <si>
    <t xml:space="preserve">Val Santos</t>
  </si>
  <si>
    <t xml:space="preserve">05/01/2022</t>
  </si>
  <si>
    <t xml:space="preserve">Sara Flores</t>
  </si>
  <si>
    <t xml:space="preserve">Team Lead Support</t>
  </si>
  <si>
    <t xml:space="preserve">Ces Gonzales</t>
  </si>
  <si>
    <t xml:space="preserve">Ben Delos Santos</t>
  </si>
  <si>
    <t xml:space="preserve">10/01/2023</t>
  </si>
  <si>
    <t xml:space="preserve">Iris Dela Cruz</t>
  </si>
  <si>
    <t xml:space="preserve">08/01/2019</t>
  </si>
  <si>
    <t xml:space="preserve">Kath Perez</t>
  </si>
  <si>
    <t xml:space="preserve">08/01/2020</t>
  </si>
  <si>
    <t xml:space="preserve">Ivy Ocampo</t>
  </si>
  <si>
    <t xml:space="preserve">03/01/2023</t>
  </si>
  <si>
    <t xml:space="preserve">Maria Peralta</t>
  </si>
  <si>
    <t xml:space="preserve">🔍  EARLY WARNING SIGNS TRACKER  —  TEAM ALPHA</t>
  </si>
  <si>
    <t xml:space="preserve">Donna Soriano</t>
  </si>
  <si>
    <t xml:space="preserve">Jake Bautista</t>
  </si>
  <si>
    <t xml:space="preserve">06/01/2019</t>
  </si>
  <si>
    <t xml:space="preserve">Ivy Ramos</t>
  </si>
  <si>
    <t xml:space="preserve">03/01/2019</t>
  </si>
  <si>
    <t xml:space="preserve">Gio Peralta</t>
  </si>
  <si>
    <t xml:space="preserve">05/01/2021</t>
  </si>
  <si>
    <t xml:space="preserve">Dan Garcia</t>
  </si>
  <si>
    <t xml:space="preserve">06/01/2023</t>
  </si>
  <si>
    <t xml:space="preserve">Carlo Tan</t>
  </si>
  <si>
    <t xml:space="preserve">07/01/2021</t>
  </si>
  <si>
    <t xml:space="preserve">Liza Villanueva</t>
  </si>
  <si>
    <t xml:space="preserve">02/01/2022</t>
  </si>
  <si>
    <t xml:space="preserve">Eve Lopez</t>
  </si>
  <si>
    <t xml:space="preserve">Cris Ocampo</t>
  </si>
  <si>
    <t xml:space="preserve">10/01/2022</t>
  </si>
  <si>
    <t xml:space="preserve">Ana Concepcion</t>
  </si>
  <si>
    <t xml:space="preserve">Lito Delos Santos</t>
  </si>
  <si>
    <t xml:space="preserve">07/01/2022</t>
  </si>
  <si>
    <t xml:space="preserve">Mark Valencia</t>
  </si>
  <si>
    <t xml:space="preserve">08/01/2023</t>
  </si>
  <si>
    <t xml:space="preserve">Grace Cruz</t>
  </si>
  <si>
    <t xml:space="preserve">12/01/2023</t>
  </si>
  <si>
    <t xml:space="preserve">Sara Aquino</t>
  </si>
  <si>
    <t xml:space="preserve">Xena Lopez</t>
  </si>
  <si>
    <t xml:space="preserve">12/01/2022</t>
  </si>
  <si>
    <t xml:space="preserve">Fred Perez</t>
  </si>
  <si>
    <t xml:space="preserve">Faith Soriano</t>
  </si>
  <si>
    <t xml:space="preserve">Rosa Reyes</t>
  </si>
  <si>
    <t xml:space="preserve">Zach Dela Cruz</t>
  </si>
  <si>
    <t xml:space="preserve">04/01/2021</t>
  </si>
  <si>
    <t xml:space="preserve">🔍  EARLY WARNING SIGNS TRACKER  —  TEAM BETA</t>
  </si>
  <si>
    <t xml:space="preserve">Gem Aquino</t>
  </si>
  <si>
    <t xml:space="preserve">Carlo Dizon</t>
  </si>
  <si>
    <t xml:space="preserve">Trisha Dizon</t>
  </si>
  <si>
    <t xml:space="preserve">05/01/2019</t>
  </si>
  <si>
    <t xml:space="preserve">Liza Tan</t>
  </si>
  <si>
    <t xml:space="preserve">09/01/2021</t>
  </si>
  <si>
    <t xml:space="preserve">Ivy Castillo</t>
  </si>
  <si>
    <t xml:space="preserve">Xena Miranda</t>
  </si>
  <si>
    <t xml:space="preserve">Fred Torres</t>
  </si>
  <si>
    <t xml:space="preserve">Fred Villanueva</t>
  </si>
  <si>
    <t xml:space="preserve">12/01/2020</t>
  </si>
  <si>
    <t xml:space="preserve">Gio Hernandez</t>
  </si>
  <si>
    <t xml:space="preserve">Ivy Soriano</t>
  </si>
  <si>
    <t xml:space="preserve">Alma Gonzales</t>
  </si>
  <si>
    <t xml:space="preserve">05/01/2023</t>
  </si>
  <si>
    <t xml:space="preserve">Rosa Lopez</t>
  </si>
  <si>
    <t xml:space="preserve">09/01/2019</t>
  </si>
  <si>
    <t xml:space="preserve">Xena Torres</t>
  </si>
  <si>
    <t xml:space="preserve">Ric Concepcion</t>
  </si>
  <si>
    <t xml:space="preserve">04/01/2019</t>
  </si>
  <si>
    <t xml:space="preserve">Ramon Torres</t>
  </si>
  <si>
    <t xml:space="preserve">07/01/2023</t>
  </si>
  <si>
    <t xml:space="preserve">Lito Tan</t>
  </si>
  <si>
    <t xml:space="preserve">Ivy Valencia</t>
  </si>
  <si>
    <t xml:space="preserve">12/01/2021</t>
  </si>
  <si>
    <t xml:space="preserve">Xena Soriano</t>
  </si>
  <si>
    <t xml:space="preserve">02/01/2020</t>
  </si>
  <si>
    <t xml:space="preserve">Sara Dela Cruz</t>
  </si>
  <si>
    <t xml:space="preserve">🔍  EARLY WARNING SIGNS TRACKER  —  TEAM GAMMA</t>
  </si>
  <si>
    <t xml:space="preserve">Alma Bautista</t>
  </si>
  <si>
    <t xml:space="preserve">Gem Peralta</t>
  </si>
  <si>
    <t xml:space="preserve">Juan Dela Cruz</t>
  </si>
  <si>
    <t xml:space="preserve">Ana Ocampo</t>
  </si>
  <si>
    <t xml:space="preserve">01/01/2022</t>
  </si>
  <si>
    <t xml:space="preserve">Bea Tan</t>
  </si>
  <si>
    <t xml:space="preserve">Ivy Cruz</t>
  </si>
  <si>
    <t xml:space="preserve">Gio Valencia</t>
  </si>
  <si>
    <t xml:space="preserve">Ted Magno</t>
  </si>
  <si>
    <t xml:space="preserve">Ces Bautista</t>
  </si>
  <si>
    <t xml:space="preserve">08/01/2022</t>
  </si>
  <si>
    <t xml:space="preserve">Gio Gonzales</t>
  </si>
  <si>
    <t xml:space="preserve">Neil Tan</t>
  </si>
  <si>
    <t xml:space="preserve">07/01/2020</t>
  </si>
  <si>
    <t xml:space="preserve">Yam Castillo</t>
  </si>
  <si>
    <t xml:space="preserve">Rex Lim</t>
  </si>
  <si>
    <t xml:space="preserve">01/01/2021</t>
  </si>
  <si>
    <t xml:space="preserve">Jenny Dela Cruz</t>
  </si>
  <si>
    <t xml:space="preserve">Ems Delos Santos</t>
  </si>
  <si>
    <t xml:space="preserve">08/01/2021</t>
  </si>
  <si>
    <t xml:space="preserve">Ric Lim</t>
  </si>
  <si>
    <t xml:space="preserve">Ems Perez</t>
  </si>
  <si>
    <t xml:space="preserve">Jake Magno</t>
  </si>
  <si>
    <t xml:space="preserve">Uma Tan</t>
  </si>
  <si>
    <t xml:space="preserve">⚫  CONFIRMED ATTRITION REGISTER  —  All Teams</t>
  </si>
  <si>
    <t xml:space="preserve">Confirmed Date</t>
  </si>
  <si>
    <t xml:space="preserve">Last Risk Status</t>
  </si>
  <si>
    <t xml:space="preserve">03/01/2021</t>
  </si>
  <si>
    <t xml:space="preserve">04/10/2025</t>
  </si>
  <si>
    <t xml:space="preserve">Resignation confirmed.</t>
  </si>
  <si>
    <t xml:space="preserve">📌  HOW TO USE: Go to any Team sheet → change Risk Status to '⚫ BLACK' → manually copy that row here OR use the Macro button on the Dashboard to auto-transfer.</t>
  </si>
  <si>
    <t xml:space="preserve">📋  LEGEND &amp; USER GUIDE</t>
  </si>
  <si>
    <t xml:space="preserve">STATUS</t>
  </si>
  <si>
    <t xml:space="preserve">MEANING</t>
  </si>
  <si>
    <t xml:space="preserve">ACTION REQUIRED</t>
  </si>
  <si>
    <t xml:space="preserve">Employee is engaged and performing well.</t>
  </si>
  <si>
    <t xml:space="preserve">Continue regular check-ins and recognition.</t>
  </si>
  <si>
    <t xml:space="preserve">Mild warning signs present (1–3 indicators).</t>
  </si>
  <si>
    <t xml:space="preserve">Schedule 1-on-1 coaching. Document observations.</t>
  </si>
  <si>
    <t xml:space="preserve">Multiple warning signs (4–7 indicators). High flight risk.</t>
  </si>
  <si>
    <t xml:space="preserve">Immediate retention conversation. Escalate to HR if needed.</t>
  </si>
  <si>
    <t xml:space="preserve">Confirmed resignation or termination.</t>
  </si>
  <si>
    <t xml:space="preserve">Transfer to Confirmed Attrition sheet. Begin transition plan.</t>
  </si>
  <si>
    <t xml:space="preserve">WARNING INDICATORS EXPLAINED</t>
  </si>
  <si>
    <t xml:space="preserve">Arriving late consistently (3+ times/week).</t>
  </si>
  <si>
    <t xml:space="preserve">Unplanned or unexcused absences rising.</t>
  </si>
  <si>
    <t xml:space="preserve">Consistent miss of daily/weekly targets.</t>
  </si>
  <si>
    <t xml:space="preserve">Not participating, camera-off, unresponsive.</t>
  </si>
  <si>
    <t xml:space="preserve">LinkedIn activity, interviews, vague schedule blocks.</t>
  </si>
  <si>
    <t xml:space="preserve">Tension, complaints, or friction with peers.</t>
  </si>
  <si>
    <t xml:space="preserve">QA average dropping below 95%.</t>
  </si>
  <si>
    <t xml:space="preserve">No longer taking on extra tasks or projects.</t>
  </si>
  <si>
    <t xml:space="preserve">Increase in leave requests or personal time.</t>
  </si>
  <si>
    <t xml:space="preserve">No longer joining team events or celebrations.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</si>
</sst>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0.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C9A84C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E7E1E"/>
      <name val="Arial"/>
      <family val="0"/>
      <charset val="1"/>
    </font>
    <font>
      <b val="true"/>
      <sz val="11"/>
      <color rgb="FF856404"/>
      <name val="Arial"/>
      <family val="0"/>
      <charset val="1"/>
    </font>
    <font>
      <b val="true"/>
      <sz val="11"/>
      <color rgb="FFB2222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9"/>
      <color rgb="FFC9A84C"/>
      <name val="Arial"/>
      <family val="0"/>
      <charset val="1"/>
    </font>
    <font>
      <b val="true"/>
      <sz val="9"/>
      <color rgb="FF1E7E1E"/>
      <name val="Arial"/>
      <family val="0"/>
      <charset val="1"/>
    </font>
    <font>
      <b val="true"/>
      <sz val="9"/>
      <color rgb="FF856404"/>
      <name val="Arial"/>
      <family val="0"/>
      <charset val="1"/>
    </font>
    <font>
      <b val="true"/>
      <sz val="9"/>
      <color rgb="FFB2222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2"/>
      <color rgb="FFC9A84C"/>
      <name val="Arial"/>
      <family val="0"/>
      <charset val="1"/>
    </font>
    <font>
      <b val="true"/>
      <sz val="22"/>
      <color rgb="FF1E7E1E"/>
      <name val="Arial"/>
      <family val="0"/>
      <charset val="1"/>
    </font>
    <font>
      <b val="true"/>
      <sz val="22"/>
      <color rgb="FF856404"/>
      <name val="Arial"/>
      <family val="0"/>
      <charset val="1"/>
    </font>
    <font>
      <b val="true"/>
      <sz val="22"/>
      <color rgb="FFB22222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i val="true"/>
      <sz val="9"/>
      <color rgb="FF1B3A6B"/>
      <name val="Arial"/>
      <family val="0"/>
      <charset val="1"/>
    </font>
    <font>
      <b val="true"/>
      <sz val="16"/>
      <color rgb="FFC9A84C"/>
      <name val="Arial"/>
      <family val="0"/>
      <charset val="1"/>
    </font>
    <font>
      <sz val="10"/>
      <color rgb="FF888888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1E7E1E"/>
      <name val="Arial"/>
      <family val="0"/>
      <charset val="1"/>
    </font>
    <font>
      <b val="true"/>
      <sz val="10"/>
      <color rgb="FF856404"/>
      <name val="Arial"/>
      <family val="0"/>
      <charset val="1"/>
    </font>
    <font>
      <b val="true"/>
      <sz val="10"/>
      <color rgb="FFB22222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B3A6B"/>
        <bgColor rgb="FF2E5090"/>
      </patternFill>
    </fill>
    <fill>
      <patternFill patternType="solid">
        <fgColor rgb="FF2E5090"/>
        <bgColor rgb="FF1B3A6B"/>
      </patternFill>
    </fill>
    <fill>
      <patternFill patternType="solid">
        <fgColor rgb="FFEEF2F8"/>
        <bgColor rgb="FFFDF3DC"/>
      </patternFill>
    </fill>
    <fill>
      <patternFill patternType="solid">
        <fgColor rgb="FFD6F5D6"/>
        <bgColor rgb="FFCCFFFF"/>
      </patternFill>
    </fill>
    <fill>
      <patternFill patternType="solid">
        <fgColor rgb="FFFFF3CC"/>
        <bgColor rgb="FFFDF3DC"/>
      </patternFill>
    </fill>
    <fill>
      <patternFill patternType="solid">
        <fgColor rgb="FFFFD6D6"/>
        <bgColor rgb="FFFDF3DC"/>
      </patternFill>
    </fill>
    <fill>
      <patternFill patternType="solid">
        <fgColor rgb="FF2D2D2D"/>
        <bgColor rgb="FF333300"/>
      </patternFill>
    </fill>
    <fill>
      <patternFill patternType="solid">
        <fgColor rgb="FFFFFFFF"/>
        <bgColor rgb="FFEEF2F8"/>
      </patternFill>
    </fill>
    <fill>
      <patternFill patternType="solid">
        <fgColor rgb="FFFDF3DC"/>
        <bgColor rgb="FFFFF3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>
        <color rgb="FFC9A84C"/>
      </left>
      <right/>
      <top style="medium">
        <color rgb="FFC9A84C"/>
      </top>
      <bottom style="medium">
        <color rgb="FFC9A84C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>
        <color rgb="FFC9A84C"/>
      </left>
      <right/>
      <top style="thin">
        <color rgb="FFC9A84C"/>
      </top>
      <bottom style="thin">
        <color rgb="FFC9A84C"/>
      </bottom>
      <diagonal/>
    </border>
    <border diagonalUp="false" diagonalDown="false">
      <left style="thin">
        <color rgb="FFC9A84C"/>
      </left>
      <right style="thin">
        <color rgb="FFC9A84C"/>
      </right>
      <top style="medium">
        <color rgb="FFC9A84C"/>
      </top>
      <bottom style="medium">
        <color rgb="FFC9A84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2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0" fillId="5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1" fillId="6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2" fillId="7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3" fillId="8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4" fillId="1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1E7E1E"/>
      </font>
      <fill>
        <patternFill>
          <bgColor rgb="FFD6F5D6"/>
        </patternFill>
      </fill>
    </dxf>
    <dxf>
      <font>
        <name val="Arial"/>
        <charset val="1"/>
        <family val="0"/>
        <b val="1"/>
        <color rgb="FF856404"/>
      </font>
      <fill>
        <patternFill>
          <bgColor rgb="FFFFF3CC"/>
        </patternFill>
      </fill>
    </dxf>
    <dxf>
      <font>
        <name val="Arial"/>
        <charset val="1"/>
        <family val="0"/>
        <b val="1"/>
        <color rgb="FFB22222"/>
      </font>
      <fill>
        <patternFill>
          <bgColor rgb="FFFFD6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2D2D2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E1E"/>
      <rgbColor rgb="FF000080"/>
      <rgbColor rgb="FF856404"/>
      <rgbColor rgb="FF800080"/>
      <rgbColor rgb="FF008080"/>
      <rgbColor rgb="FFCCCCCC"/>
      <rgbColor rgb="FF888888"/>
      <rgbColor rgb="FF9999FF"/>
      <rgbColor rgb="FF993366"/>
      <rgbColor rgb="FFFFF3CC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6F5D6"/>
      <rgbColor rgb="FFFDF3DC"/>
      <rgbColor rgb="FF99CCFF"/>
      <rgbColor rgb="FFFF99CC"/>
      <rgbColor rgb="FFCC99FF"/>
      <rgbColor rgb="FFFFD6D6"/>
      <rgbColor rgb="FF3366FF"/>
      <rgbColor rgb="FF33CCCC"/>
      <rgbColor rgb="FF99CC00"/>
      <rgbColor rgb="FFFFCC00"/>
      <rgbColor rgb="FFFF9900"/>
      <rgbColor rgb="FFFF6600"/>
      <rgbColor rgb="FF555555"/>
      <rgbColor rgb="FFC9A84C"/>
      <rgbColor rgb="FF1B3A6B"/>
      <rgbColor rgb="FF339966"/>
      <rgbColor rgb="FF003300"/>
      <rgbColor rgb="FF333300"/>
      <rgbColor rgb="FFB22222"/>
      <rgbColor rgb="FF993366"/>
      <rgbColor rgb="FF2E5090"/>
      <rgbColor rgb="FF2D2D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3A6B"/>
    <pageSetUpPr fitToPage="false"/>
  </sheetPr>
  <dimension ref="B1:L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0" min="2" style="0" width="16"/>
    <col collapsed="false" customWidth="true" hidden="false" outlineLevel="0" max="11" min="11" style="0" width="22"/>
    <col collapsed="false" customWidth="true" hidden="false" outlineLevel="0" max="12" min="12" style="0" width="16"/>
  </cols>
  <sheetData>
    <row r="1" customFormat="false" ht="7.5" hidden="false" customHeight="true" outlineLevel="0" collapsed="false"/>
    <row r="2" customFormat="false" ht="49.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7.5" hidden="false" customHeight="true" outlineLevel="0" collapsed="false"/>
    <row r="4" customFormat="false" ht="7.5" hidden="false" customHeight="true" outlineLevel="0" collapsed="false"/>
    <row r="5" customFormat="false" ht="15" hidden="false" customHeight="true" outlineLevel="0" collapsed="false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</row>
    <row r="6" customFormat="false" ht="36" hidden="false" customHeight="true" outlineLevel="0" collapsed="false">
      <c r="B6" s="3" t="s">
        <v>2</v>
      </c>
      <c r="C6" s="3" t="s">
        <v>3</v>
      </c>
      <c r="D6" s="3" t="s">
        <v>4</v>
      </c>
      <c r="E6" s="3" t="s">
        <v>5</v>
      </c>
      <c r="F6" s="3" t="s">
        <v>6</v>
      </c>
      <c r="G6" s="3" t="s">
        <v>7</v>
      </c>
      <c r="H6" s="3" t="s">
        <v>8</v>
      </c>
      <c r="I6" s="3" t="s">
        <v>9</v>
      </c>
      <c r="J6" s="3" t="s">
        <v>10</v>
      </c>
      <c r="K6" s="3" t="s">
        <v>11</v>
      </c>
    </row>
    <row r="7" customFormat="false" ht="24" hidden="false" customHeight="true" outlineLevel="0" collapsed="false">
      <c r="B7" s="4" t="s">
        <v>12</v>
      </c>
      <c r="C7" s="5" t="n">
        <v>19</v>
      </c>
      <c r="D7" s="6" t="n">
        <f aca="false">COUNTIF('Team Leou'!F5:F23,"*GREEN*")</f>
        <v>5</v>
      </c>
      <c r="E7" s="7" t="n">
        <f aca="false">COUNTIF('Team Leou'!F5:F23,"*YELLOW*")</f>
        <v>2</v>
      </c>
      <c r="F7" s="8" t="n">
        <f aca="false">COUNTIF('Team Leou'!F5:F23,"*RED*")</f>
        <v>6</v>
      </c>
      <c r="G7" s="9" t="n">
        <f aca="false">COUNTIF('Team Leou'!F5:F23,"*BLACK*")</f>
        <v>6</v>
      </c>
      <c r="H7" s="10" t="n">
        <f aca="false">IFERROR((F7+G7)/C7,0)</f>
        <v>0.631578947368421</v>
      </c>
      <c r="I7" s="11" t="n">
        <f aca="false">IFERROR(AVERAGE('Team Leou'!P5:P23),0)</f>
        <v>0</v>
      </c>
      <c r="J7" s="12" t="s">
        <v>13</v>
      </c>
      <c r="K7" s="13" t="str">
        <f aca="false">IF(G7&gt;0,"🚨 IMMEDIATE",IF(F7&gt;0,"⚠️ HIGH",IF(E7&gt;0,"📋 MONITOR","✅ STABLE")))</f>
        <v>🚨 IMMEDIATE</v>
      </c>
    </row>
    <row r="8" customFormat="false" ht="24" hidden="false" customHeight="true" outlineLevel="0" collapsed="false">
      <c r="B8" s="14" t="s">
        <v>14</v>
      </c>
      <c r="C8" s="15" t="n">
        <v>19</v>
      </c>
      <c r="D8" s="6" t="n">
        <f aca="false">COUNTIF('Team Alpha'!F5:F23,"*GREEN*")</f>
        <v>5</v>
      </c>
      <c r="E8" s="7" t="n">
        <f aca="false">COUNTIF('Team Alpha'!F5:F23,"*YELLOW*")</f>
        <v>6</v>
      </c>
      <c r="F8" s="8" t="n">
        <f aca="false">COUNTIF('Team Alpha'!F5:F23,"*RED*")</f>
        <v>3</v>
      </c>
      <c r="G8" s="9" t="n">
        <f aca="false">COUNTIF('Team Alpha'!F5:F23,"*BLACK*")</f>
        <v>5</v>
      </c>
      <c r="H8" s="16" t="n">
        <f aca="false">IFERROR((F8+G8)/C8,0)</f>
        <v>0.421052631578947</v>
      </c>
      <c r="I8" s="17" t="n">
        <f aca="false">IFERROR(AVERAGE('Team Alpha'!P5:P23),0)</f>
        <v>0</v>
      </c>
      <c r="J8" s="18" t="s">
        <v>15</v>
      </c>
      <c r="K8" s="19" t="str">
        <f aca="false">IF(G8&gt;0,"🚨 IMMEDIATE",IF(F8&gt;0,"⚠️ HIGH",IF(E8&gt;0,"📋 MONITOR","✅ STABLE")))</f>
        <v>🚨 IMMEDIATE</v>
      </c>
    </row>
    <row r="9" customFormat="false" ht="24" hidden="false" customHeight="true" outlineLevel="0" collapsed="false">
      <c r="B9" s="4" t="s">
        <v>16</v>
      </c>
      <c r="C9" s="5" t="n">
        <v>19</v>
      </c>
      <c r="D9" s="6" t="n">
        <f aca="false">COUNTIF('Team Beta'!F5:F23,"*GREEN*")</f>
        <v>7</v>
      </c>
      <c r="E9" s="7" t="n">
        <f aca="false">COUNTIF('Team Beta'!F5:F23,"*YELLOW*")</f>
        <v>3</v>
      </c>
      <c r="F9" s="8" t="n">
        <f aca="false">COUNTIF('Team Beta'!F5:F23,"*RED*")</f>
        <v>3</v>
      </c>
      <c r="G9" s="9" t="n">
        <f aca="false">COUNTIF('Team Beta'!F5:F23,"*BLACK*")</f>
        <v>6</v>
      </c>
      <c r="H9" s="10" t="n">
        <f aca="false">IFERROR((F9+G9)/C9,0)</f>
        <v>0.473684210526316</v>
      </c>
      <c r="I9" s="11" t="n">
        <f aca="false">IFERROR(AVERAGE('Team Beta'!P5:P23),0)</f>
        <v>0</v>
      </c>
      <c r="J9" s="12" t="s">
        <v>17</v>
      </c>
      <c r="K9" s="13" t="str">
        <f aca="false">IF(G9&gt;0,"🚨 IMMEDIATE",IF(F9&gt;0,"⚠️ HIGH",IF(E9&gt;0,"📋 MONITOR","✅ STABLE")))</f>
        <v>🚨 IMMEDIATE</v>
      </c>
    </row>
    <row r="10" customFormat="false" ht="24" hidden="false" customHeight="true" outlineLevel="0" collapsed="false">
      <c r="B10" s="14" t="s">
        <v>18</v>
      </c>
      <c r="C10" s="15" t="n">
        <v>19</v>
      </c>
      <c r="D10" s="6" t="n">
        <f aca="false">COUNTIF('Team Gamma'!F5:F23,"*GREEN*")</f>
        <v>5</v>
      </c>
      <c r="E10" s="7" t="n">
        <f aca="false">COUNTIF('Team Gamma'!F5:F23,"*YELLOW*")</f>
        <v>4</v>
      </c>
      <c r="F10" s="8" t="n">
        <f aca="false">COUNTIF('Team Gamma'!F5:F23,"*RED*")</f>
        <v>6</v>
      </c>
      <c r="G10" s="9" t="n">
        <f aca="false">COUNTIF('Team Gamma'!F5:F23,"*BLACK*")</f>
        <v>4</v>
      </c>
      <c r="H10" s="16" t="n">
        <f aca="false">IFERROR((F10+G10)/C10,0)</f>
        <v>0.526315789473684</v>
      </c>
      <c r="I10" s="17" t="n">
        <f aca="false">IFERROR(AVERAGE('Team Gamma'!P5:P23),0)</f>
        <v>0</v>
      </c>
      <c r="J10" s="18" t="s">
        <v>19</v>
      </c>
      <c r="K10" s="19" t="str">
        <f aca="false">IF(G10&gt;0,"🚨 IMMEDIATE",IF(F10&gt;0,"⚠️ HIGH",IF(E10&gt;0,"📋 MONITOR","✅ STABLE")))</f>
        <v>🚨 IMMEDIATE</v>
      </c>
    </row>
    <row r="11" customFormat="false" ht="25.5" hidden="false" customHeight="true" outlineLevel="0" collapsed="false">
      <c r="B11" s="20" t="s">
        <v>20</v>
      </c>
      <c r="C11" s="21" t="n">
        <f aca="false">SUM(C7:C10)</f>
        <v>76</v>
      </c>
      <c r="D11" s="21" t="n">
        <f aca="false">SUM(D7:D10)</f>
        <v>22</v>
      </c>
      <c r="E11" s="21" t="n">
        <f aca="false">SUM(E7:E10)</f>
        <v>15</v>
      </c>
      <c r="F11" s="21" t="n">
        <f aca="false">SUM(F7:F10)</f>
        <v>18</v>
      </c>
      <c r="G11" s="21" t="n">
        <f aca="false">SUM(G7:G10)</f>
        <v>21</v>
      </c>
      <c r="H11" s="22" t="n">
        <f aca="false">IFERROR(SUM(F7:F10+G7:G10)/SUM(C7:C10),0)</f>
        <v>0</v>
      </c>
      <c r="I11" s="23" t="n">
        <f aca="false">AVERAGE(I7:I10)</f>
        <v>0</v>
      </c>
    </row>
    <row r="12" customFormat="false" ht="12" hidden="false" customHeight="true" outlineLevel="0" collapsed="false"/>
    <row r="13" customFormat="false" ht="51.75" hidden="false" customHeight="true" outlineLevel="0" collapsed="false">
      <c r="B13" s="24" t="s">
        <v>21</v>
      </c>
      <c r="C13" s="24"/>
      <c r="D13" s="24"/>
      <c r="E13" s="25" t="s">
        <v>22</v>
      </c>
      <c r="F13" s="25"/>
      <c r="G13" s="26" t="s">
        <v>23</v>
      </c>
      <c r="H13" s="26"/>
      <c r="I13" s="27" t="s">
        <v>24</v>
      </c>
      <c r="J13" s="27"/>
      <c r="K13" s="28" t="s">
        <v>25</v>
      </c>
      <c r="L13" s="28"/>
    </row>
    <row r="14" customFormat="false" ht="39.75" hidden="false" customHeight="true" outlineLevel="0" collapsed="false">
      <c r="B14" s="29" t="n">
        <f aca="false">C11</f>
        <v>76</v>
      </c>
      <c r="C14" s="29"/>
      <c r="D14" s="29"/>
      <c r="E14" s="30" t="n">
        <f aca="false">D11</f>
        <v>22</v>
      </c>
      <c r="F14" s="30"/>
      <c r="G14" s="31" t="n">
        <f aca="false">E11</f>
        <v>15</v>
      </c>
      <c r="H14" s="31"/>
      <c r="I14" s="32" t="n">
        <f aca="false">F11</f>
        <v>18</v>
      </c>
      <c r="J14" s="32"/>
      <c r="K14" s="33" t="n">
        <f aca="false">G11</f>
        <v>21</v>
      </c>
      <c r="L14" s="33"/>
    </row>
    <row r="16" customFormat="false" ht="27.75" hidden="false" customHeight="true" outlineLevel="0" collapsed="false">
      <c r="B16" s="34" t="s">
        <v>26</v>
      </c>
      <c r="C16" s="34"/>
      <c r="D16" s="34"/>
      <c r="E16" s="34"/>
      <c r="F16" s="34"/>
      <c r="G16" s="34"/>
      <c r="H16" s="34"/>
      <c r="I16" s="34"/>
      <c r="J16" s="34"/>
      <c r="K16" s="34"/>
      <c r="L16" s="34"/>
    </row>
  </sheetData>
  <mergeCells count="13">
    <mergeCell ref="B2:L2"/>
    <mergeCell ref="B5:L5"/>
    <mergeCell ref="B13:D13"/>
    <mergeCell ref="E13:F13"/>
    <mergeCell ref="G13:H13"/>
    <mergeCell ref="I13:J13"/>
    <mergeCell ref="K13:L13"/>
    <mergeCell ref="B14:D14"/>
    <mergeCell ref="E14:F14"/>
    <mergeCell ref="G14:H14"/>
    <mergeCell ref="I14:J14"/>
    <mergeCell ref="K14:L14"/>
    <mergeCell ref="B16:L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090"/>
    <pageSetUpPr fitToPage="false"/>
  </sheetPr>
  <dimension ref="B1:S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15" min="6" style="0" width="14"/>
    <col collapsed="false" customWidth="true" hidden="false" outlineLevel="0" max="16" min="16" style="0" width="16"/>
    <col collapsed="false" customWidth="true" hidden="false" outlineLevel="0" max="17" min="17" style="0" width="22"/>
    <col collapsed="false" customWidth="true" hidden="false" outlineLevel="0" max="18" min="18" style="0" width="20"/>
  </cols>
  <sheetData>
    <row r="1" customFormat="false" ht="7.5" hidden="false" customHeight="true" outlineLevel="0" collapsed="false"/>
    <row r="2" customFormat="false" ht="42" hidden="false" customHeight="true" outlineLevel="0" collapsed="false">
      <c r="B2" s="35" t="s">
        <v>27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</row>
    <row r="3" customFormat="false" ht="7.5" hidden="false" customHeight="true" outlineLevel="0" collapsed="false"/>
    <row r="4" customFormat="false" ht="36" hidden="false" customHeight="true" outlineLevel="0" collapsed="false">
      <c r="B4" s="36" t="s">
        <v>28</v>
      </c>
      <c r="C4" s="36" t="s">
        <v>29</v>
      </c>
      <c r="D4" s="36" t="s">
        <v>30</v>
      </c>
      <c r="E4" s="36" t="s">
        <v>31</v>
      </c>
      <c r="F4" s="36" t="s">
        <v>32</v>
      </c>
      <c r="G4" s="36" t="s">
        <v>33</v>
      </c>
      <c r="H4" s="36" t="s">
        <v>34</v>
      </c>
      <c r="I4" s="36" t="s">
        <v>13</v>
      </c>
      <c r="J4" s="36" t="s">
        <v>15</v>
      </c>
      <c r="K4" s="36" t="s">
        <v>35</v>
      </c>
      <c r="L4" s="36" t="s">
        <v>36</v>
      </c>
      <c r="M4" s="36" t="s">
        <v>17</v>
      </c>
      <c r="N4" s="36" t="s">
        <v>37</v>
      </c>
      <c r="O4" s="36" t="s">
        <v>19</v>
      </c>
      <c r="P4" s="36" t="s">
        <v>38</v>
      </c>
      <c r="Q4" s="36" t="s">
        <v>39</v>
      </c>
      <c r="R4" s="36" t="s">
        <v>40</v>
      </c>
      <c r="S4" s="36" t="s">
        <v>41</v>
      </c>
    </row>
    <row r="5" customFormat="false" ht="21.75" hidden="false" customHeight="true" outlineLevel="0" collapsed="false">
      <c r="B5" s="37" t="n">
        <v>1</v>
      </c>
      <c r="C5" s="14" t="s">
        <v>42</v>
      </c>
      <c r="D5" s="15" t="s">
        <v>43</v>
      </c>
      <c r="E5" s="15" t="s">
        <v>44</v>
      </c>
      <c r="F5" s="38" t="s">
        <v>7</v>
      </c>
      <c r="G5" s="15" t="s">
        <v>45</v>
      </c>
      <c r="H5" s="15" t="s">
        <v>45</v>
      </c>
      <c r="I5" s="15" t="s">
        <v>45</v>
      </c>
      <c r="J5" s="15" t="s">
        <v>45</v>
      </c>
      <c r="K5" s="15" t="s">
        <v>45</v>
      </c>
      <c r="L5" s="15" t="s">
        <v>46</v>
      </c>
      <c r="M5" s="15" t="s">
        <v>46</v>
      </c>
      <c r="N5" s="15" t="s">
        <v>45</v>
      </c>
      <c r="O5" s="15" t="s">
        <v>46</v>
      </c>
      <c r="P5" s="15" t="s">
        <v>46</v>
      </c>
      <c r="Q5" s="39" t="n">
        <f aca="false">COUNTIF(G5:P5,"YES")</f>
        <v>6</v>
      </c>
      <c r="R5" s="40"/>
      <c r="S5" s="15"/>
    </row>
    <row r="6" customFormat="false" ht="21.75" hidden="false" customHeight="true" outlineLevel="0" collapsed="false">
      <c r="B6" s="41" t="n">
        <v>2</v>
      </c>
      <c r="C6" s="4" t="s">
        <v>47</v>
      </c>
      <c r="D6" s="5" t="s">
        <v>48</v>
      </c>
      <c r="E6" s="5" t="s">
        <v>49</v>
      </c>
      <c r="F6" s="38" t="s">
        <v>6</v>
      </c>
      <c r="G6" s="5" t="s">
        <v>46</v>
      </c>
      <c r="H6" s="5" t="s">
        <v>45</v>
      </c>
      <c r="I6" s="5" t="s">
        <v>45</v>
      </c>
      <c r="J6" s="5" t="s">
        <v>46</v>
      </c>
      <c r="K6" s="5" t="s">
        <v>46</v>
      </c>
      <c r="L6" s="5" t="s">
        <v>46</v>
      </c>
      <c r="M6" s="5" t="s">
        <v>45</v>
      </c>
      <c r="N6" s="5" t="s">
        <v>46</v>
      </c>
      <c r="O6" s="5" t="s">
        <v>46</v>
      </c>
      <c r="P6" s="5" t="s">
        <v>45</v>
      </c>
      <c r="Q6" s="39" t="n">
        <f aca="false">COUNTIF(G6:P6,"YES")</f>
        <v>4</v>
      </c>
      <c r="R6" s="42"/>
      <c r="S6" s="5"/>
    </row>
    <row r="7" customFormat="false" ht="21.75" hidden="false" customHeight="true" outlineLevel="0" collapsed="false">
      <c r="B7" s="37" t="n">
        <v>3</v>
      </c>
      <c r="C7" s="14" t="s">
        <v>50</v>
      </c>
      <c r="D7" s="15" t="s">
        <v>51</v>
      </c>
      <c r="E7" s="15" t="s">
        <v>52</v>
      </c>
      <c r="F7" s="38" t="s">
        <v>6</v>
      </c>
      <c r="G7" s="15" t="s">
        <v>46</v>
      </c>
      <c r="H7" s="15" t="s">
        <v>45</v>
      </c>
      <c r="I7" s="15" t="s">
        <v>46</v>
      </c>
      <c r="J7" s="15" t="s">
        <v>45</v>
      </c>
      <c r="K7" s="15" t="s">
        <v>46</v>
      </c>
      <c r="L7" s="15" t="s">
        <v>46</v>
      </c>
      <c r="M7" s="15" t="s">
        <v>46</v>
      </c>
      <c r="N7" s="15" t="s">
        <v>45</v>
      </c>
      <c r="O7" s="15" t="s">
        <v>45</v>
      </c>
      <c r="P7" s="15" t="s">
        <v>46</v>
      </c>
      <c r="Q7" s="39" t="n">
        <f aca="false">COUNTIF(G7:P7,"YES")</f>
        <v>4</v>
      </c>
      <c r="R7" s="40"/>
      <c r="S7" s="15"/>
    </row>
    <row r="8" customFormat="false" ht="21.75" hidden="false" customHeight="true" outlineLevel="0" collapsed="false">
      <c r="B8" s="41" t="n">
        <v>4</v>
      </c>
      <c r="C8" s="4" t="s">
        <v>53</v>
      </c>
      <c r="D8" s="5" t="s">
        <v>54</v>
      </c>
      <c r="E8" s="5" t="s">
        <v>55</v>
      </c>
      <c r="F8" s="38" t="s">
        <v>4</v>
      </c>
      <c r="G8" s="5" t="s">
        <v>46</v>
      </c>
      <c r="H8" s="5" t="s">
        <v>46</v>
      </c>
      <c r="I8" s="5" t="s">
        <v>46</v>
      </c>
      <c r="J8" s="5" t="s">
        <v>45</v>
      </c>
      <c r="K8" s="5" t="s">
        <v>45</v>
      </c>
      <c r="L8" s="5" t="s">
        <v>46</v>
      </c>
      <c r="M8" s="5" t="s">
        <v>46</v>
      </c>
      <c r="N8" s="5" t="s">
        <v>45</v>
      </c>
      <c r="O8" s="5" t="s">
        <v>45</v>
      </c>
      <c r="P8" s="5" t="s">
        <v>45</v>
      </c>
      <c r="Q8" s="39" t="n">
        <f aca="false">COUNTIF(G8:P8,"YES")</f>
        <v>5</v>
      </c>
      <c r="R8" s="42"/>
      <c r="S8" s="5"/>
    </row>
    <row r="9" customFormat="false" ht="21.75" hidden="false" customHeight="true" outlineLevel="0" collapsed="false">
      <c r="B9" s="37" t="n">
        <v>5</v>
      </c>
      <c r="C9" s="14" t="s">
        <v>56</v>
      </c>
      <c r="D9" s="15" t="s">
        <v>48</v>
      </c>
      <c r="E9" s="15" t="s">
        <v>57</v>
      </c>
      <c r="F9" s="38" t="s">
        <v>7</v>
      </c>
      <c r="G9" s="15" t="s">
        <v>45</v>
      </c>
      <c r="H9" s="15" t="s">
        <v>46</v>
      </c>
      <c r="I9" s="15" t="s">
        <v>45</v>
      </c>
      <c r="J9" s="15" t="s">
        <v>45</v>
      </c>
      <c r="K9" s="15" t="s">
        <v>46</v>
      </c>
      <c r="L9" s="15" t="s">
        <v>46</v>
      </c>
      <c r="M9" s="15" t="s">
        <v>45</v>
      </c>
      <c r="N9" s="15" t="s">
        <v>46</v>
      </c>
      <c r="O9" s="15" t="s">
        <v>46</v>
      </c>
      <c r="P9" s="15" t="s">
        <v>46</v>
      </c>
      <c r="Q9" s="39" t="n">
        <f aca="false">COUNTIF(G9:P9,"YES")</f>
        <v>4</v>
      </c>
      <c r="R9" s="40"/>
      <c r="S9" s="15"/>
    </row>
    <row r="10" customFormat="false" ht="21.75" hidden="false" customHeight="true" outlineLevel="0" collapsed="false">
      <c r="B10" s="41" t="n">
        <v>6</v>
      </c>
      <c r="C10" s="4" t="s">
        <v>58</v>
      </c>
      <c r="D10" s="5" t="s">
        <v>51</v>
      </c>
      <c r="E10" s="5" t="s">
        <v>59</v>
      </c>
      <c r="F10" s="38" t="s">
        <v>5</v>
      </c>
      <c r="G10" s="5" t="s">
        <v>46</v>
      </c>
      <c r="H10" s="5" t="s">
        <v>46</v>
      </c>
      <c r="I10" s="5" t="s">
        <v>46</v>
      </c>
      <c r="J10" s="5" t="s">
        <v>46</v>
      </c>
      <c r="K10" s="5" t="s">
        <v>46</v>
      </c>
      <c r="L10" s="5" t="s">
        <v>46</v>
      </c>
      <c r="M10" s="5" t="s">
        <v>45</v>
      </c>
      <c r="N10" s="5" t="s">
        <v>45</v>
      </c>
      <c r="O10" s="5" t="s">
        <v>45</v>
      </c>
      <c r="P10" s="5" t="s">
        <v>45</v>
      </c>
      <c r="Q10" s="39" t="n">
        <f aca="false">COUNTIF(G10:P10,"YES")</f>
        <v>4</v>
      </c>
      <c r="R10" s="42"/>
      <c r="S10" s="5"/>
    </row>
    <row r="11" customFormat="false" ht="21.75" hidden="false" customHeight="true" outlineLevel="0" collapsed="false">
      <c r="B11" s="37" t="n">
        <v>7</v>
      </c>
      <c r="C11" s="14" t="s">
        <v>60</v>
      </c>
      <c r="D11" s="15" t="s">
        <v>43</v>
      </c>
      <c r="E11" s="15" t="s">
        <v>61</v>
      </c>
      <c r="F11" s="38" t="s">
        <v>5</v>
      </c>
      <c r="G11" s="15" t="s">
        <v>46</v>
      </c>
      <c r="H11" s="15" t="s">
        <v>45</v>
      </c>
      <c r="I11" s="15" t="s">
        <v>45</v>
      </c>
      <c r="J11" s="15" t="s">
        <v>45</v>
      </c>
      <c r="K11" s="15" t="s">
        <v>45</v>
      </c>
      <c r="L11" s="15" t="s">
        <v>45</v>
      </c>
      <c r="M11" s="15" t="s">
        <v>45</v>
      </c>
      <c r="N11" s="15" t="s">
        <v>45</v>
      </c>
      <c r="O11" s="15" t="s">
        <v>46</v>
      </c>
      <c r="P11" s="15" t="s">
        <v>45</v>
      </c>
      <c r="Q11" s="39" t="n">
        <f aca="false">COUNTIF(G11:P11,"YES")</f>
        <v>8</v>
      </c>
      <c r="R11" s="40"/>
      <c r="S11" s="15"/>
    </row>
    <row r="12" customFormat="false" ht="21.75" hidden="false" customHeight="true" outlineLevel="0" collapsed="false">
      <c r="B12" s="41" t="n">
        <v>8</v>
      </c>
      <c r="C12" s="4" t="s">
        <v>62</v>
      </c>
      <c r="D12" s="5" t="s">
        <v>48</v>
      </c>
      <c r="E12" s="5" t="s">
        <v>63</v>
      </c>
      <c r="F12" s="38" t="s">
        <v>7</v>
      </c>
      <c r="G12" s="5" t="s">
        <v>45</v>
      </c>
      <c r="H12" s="5" t="s">
        <v>46</v>
      </c>
      <c r="I12" s="5" t="s">
        <v>45</v>
      </c>
      <c r="J12" s="5" t="s">
        <v>46</v>
      </c>
      <c r="K12" s="5" t="s">
        <v>46</v>
      </c>
      <c r="L12" s="5" t="s">
        <v>46</v>
      </c>
      <c r="M12" s="5" t="s">
        <v>45</v>
      </c>
      <c r="N12" s="5" t="s">
        <v>46</v>
      </c>
      <c r="O12" s="5" t="s">
        <v>46</v>
      </c>
      <c r="P12" s="5" t="s">
        <v>45</v>
      </c>
      <c r="Q12" s="39" t="n">
        <f aca="false">COUNTIF(G12:P12,"YES")</f>
        <v>4</v>
      </c>
      <c r="R12" s="42"/>
      <c r="S12" s="5"/>
    </row>
    <row r="13" customFormat="false" ht="21.75" hidden="false" customHeight="true" outlineLevel="0" collapsed="false">
      <c r="B13" s="37" t="n">
        <v>9</v>
      </c>
      <c r="C13" s="14" t="s">
        <v>64</v>
      </c>
      <c r="D13" s="15" t="s">
        <v>65</v>
      </c>
      <c r="E13" s="15" t="s">
        <v>66</v>
      </c>
      <c r="F13" s="38" t="s">
        <v>7</v>
      </c>
      <c r="G13" s="15" t="s">
        <v>46</v>
      </c>
      <c r="H13" s="15" t="s">
        <v>46</v>
      </c>
      <c r="I13" s="15" t="s">
        <v>46</v>
      </c>
      <c r="J13" s="15" t="s">
        <v>46</v>
      </c>
      <c r="K13" s="15" t="s">
        <v>45</v>
      </c>
      <c r="L13" s="15" t="s">
        <v>45</v>
      </c>
      <c r="M13" s="15" t="s">
        <v>45</v>
      </c>
      <c r="N13" s="15" t="s">
        <v>46</v>
      </c>
      <c r="O13" s="15" t="s">
        <v>46</v>
      </c>
      <c r="P13" s="15" t="s">
        <v>45</v>
      </c>
      <c r="Q13" s="39" t="n">
        <f aca="false">COUNTIF(G13:P13,"YES")</f>
        <v>4</v>
      </c>
      <c r="R13" s="40"/>
      <c r="S13" s="15"/>
    </row>
    <row r="14" customFormat="false" ht="21.75" hidden="false" customHeight="true" outlineLevel="0" collapsed="false">
      <c r="B14" s="41" t="n">
        <v>10</v>
      </c>
      <c r="C14" s="4" t="s">
        <v>67</v>
      </c>
      <c r="D14" s="5" t="s">
        <v>54</v>
      </c>
      <c r="E14" s="5" t="s">
        <v>68</v>
      </c>
      <c r="F14" s="38" t="s">
        <v>7</v>
      </c>
      <c r="G14" s="5" t="s">
        <v>45</v>
      </c>
      <c r="H14" s="5" t="s">
        <v>46</v>
      </c>
      <c r="I14" s="5" t="s">
        <v>45</v>
      </c>
      <c r="J14" s="5" t="s">
        <v>46</v>
      </c>
      <c r="K14" s="5" t="s">
        <v>46</v>
      </c>
      <c r="L14" s="5" t="s">
        <v>45</v>
      </c>
      <c r="M14" s="5" t="s">
        <v>45</v>
      </c>
      <c r="N14" s="5" t="s">
        <v>46</v>
      </c>
      <c r="O14" s="5" t="s">
        <v>46</v>
      </c>
      <c r="P14" s="5" t="s">
        <v>45</v>
      </c>
      <c r="Q14" s="39" t="n">
        <f aca="false">COUNTIF(G14:P14,"YES")</f>
        <v>5</v>
      </c>
      <c r="R14" s="42"/>
      <c r="S14" s="5"/>
    </row>
    <row r="15" customFormat="false" ht="21.75" hidden="false" customHeight="true" outlineLevel="0" collapsed="false">
      <c r="B15" s="37" t="n">
        <v>11</v>
      </c>
      <c r="C15" s="14" t="s">
        <v>69</v>
      </c>
      <c r="D15" s="15" t="s">
        <v>65</v>
      </c>
      <c r="E15" s="15" t="s">
        <v>70</v>
      </c>
      <c r="F15" s="38" t="s">
        <v>4</v>
      </c>
      <c r="G15" s="15" t="s">
        <v>45</v>
      </c>
      <c r="H15" s="15" t="s">
        <v>45</v>
      </c>
      <c r="I15" s="15" t="s">
        <v>46</v>
      </c>
      <c r="J15" s="15" t="s">
        <v>46</v>
      </c>
      <c r="K15" s="15" t="s">
        <v>46</v>
      </c>
      <c r="L15" s="15" t="s">
        <v>45</v>
      </c>
      <c r="M15" s="15" t="s">
        <v>46</v>
      </c>
      <c r="N15" s="15" t="s">
        <v>45</v>
      </c>
      <c r="O15" s="15" t="s">
        <v>45</v>
      </c>
      <c r="P15" s="15" t="s">
        <v>46</v>
      </c>
      <c r="Q15" s="39" t="n">
        <f aca="false">COUNTIF(G15:P15,"YES")</f>
        <v>5</v>
      </c>
      <c r="R15" s="40"/>
      <c r="S15" s="15"/>
    </row>
    <row r="16" customFormat="false" ht="21.75" hidden="false" customHeight="true" outlineLevel="0" collapsed="false">
      <c r="B16" s="41" t="n">
        <v>12</v>
      </c>
      <c r="C16" s="4" t="s">
        <v>71</v>
      </c>
      <c r="D16" s="5" t="s">
        <v>65</v>
      </c>
      <c r="E16" s="5" t="s">
        <v>72</v>
      </c>
      <c r="F16" s="38" t="s">
        <v>7</v>
      </c>
      <c r="G16" s="5" t="s">
        <v>46</v>
      </c>
      <c r="H16" s="5" t="s">
        <v>46</v>
      </c>
      <c r="I16" s="5" t="s">
        <v>46</v>
      </c>
      <c r="J16" s="5" t="s">
        <v>46</v>
      </c>
      <c r="K16" s="5" t="s">
        <v>45</v>
      </c>
      <c r="L16" s="5" t="s">
        <v>45</v>
      </c>
      <c r="M16" s="5" t="s">
        <v>46</v>
      </c>
      <c r="N16" s="5" t="s">
        <v>45</v>
      </c>
      <c r="O16" s="5" t="s">
        <v>45</v>
      </c>
      <c r="P16" s="5" t="s">
        <v>46</v>
      </c>
      <c r="Q16" s="39" t="n">
        <f aca="false">COUNTIF(G16:P16,"YES")</f>
        <v>4</v>
      </c>
      <c r="R16" s="42"/>
      <c r="S16" s="5"/>
    </row>
    <row r="17" customFormat="false" ht="21.75" hidden="false" customHeight="true" outlineLevel="0" collapsed="false">
      <c r="B17" s="37" t="n">
        <v>13</v>
      </c>
      <c r="C17" s="14" t="s">
        <v>73</v>
      </c>
      <c r="D17" s="15" t="s">
        <v>74</v>
      </c>
      <c r="E17" s="15" t="s">
        <v>70</v>
      </c>
      <c r="F17" s="38" t="s">
        <v>6</v>
      </c>
      <c r="G17" s="15" t="s">
        <v>45</v>
      </c>
      <c r="H17" s="15" t="s">
        <v>45</v>
      </c>
      <c r="I17" s="15" t="s">
        <v>46</v>
      </c>
      <c r="J17" s="15" t="s">
        <v>46</v>
      </c>
      <c r="K17" s="15" t="s">
        <v>46</v>
      </c>
      <c r="L17" s="15" t="s">
        <v>46</v>
      </c>
      <c r="M17" s="15" t="s">
        <v>45</v>
      </c>
      <c r="N17" s="15" t="s">
        <v>45</v>
      </c>
      <c r="O17" s="15" t="s">
        <v>46</v>
      </c>
      <c r="P17" s="15" t="s">
        <v>45</v>
      </c>
      <c r="Q17" s="39" t="n">
        <f aca="false">COUNTIF(G17:P17,"YES")</f>
        <v>5</v>
      </c>
      <c r="R17" s="40"/>
      <c r="S17" s="15"/>
    </row>
    <row r="18" customFormat="false" ht="21.75" hidden="false" customHeight="true" outlineLevel="0" collapsed="false">
      <c r="B18" s="41" t="n">
        <v>14</v>
      </c>
      <c r="C18" s="4" t="s">
        <v>75</v>
      </c>
      <c r="D18" s="5" t="s">
        <v>54</v>
      </c>
      <c r="E18" s="5" t="s">
        <v>61</v>
      </c>
      <c r="F18" s="38" t="s">
        <v>4</v>
      </c>
      <c r="G18" s="5" t="s">
        <v>45</v>
      </c>
      <c r="H18" s="5" t="s">
        <v>46</v>
      </c>
      <c r="I18" s="5" t="s">
        <v>45</v>
      </c>
      <c r="J18" s="5" t="s">
        <v>46</v>
      </c>
      <c r="K18" s="5" t="s">
        <v>45</v>
      </c>
      <c r="L18" s="5" t="s">
        <v>46</v>
      </c>
      <c r="M18" s="5" t="s">
        <v>46</v>
      </c>
      <c r="N18" s="5" t="s">
        <v>45</v>
      </c>
      <c r="O18" s="5" t="s">
        <v>46</v>
      </c>
      <c r="P18" s="5" t="s">
        <v>45</v>
      </c>
      <c r="Q18" s="39" t="n">
        <f aca="false">COUNTIF(G18:P18,"YES")</f>
        <v>5</v>
      </c>
      <c r="R18" s="42"/>
      <c r="S18" s="5"/>
    </row>
    <row r="19" customFormat="false" ht="21.75" hidden="false" customHeight="true" outlineLevel="0" collapsed="false">
      <c r="B19" s="37" t="n">
        <v>15</v>
      </c>
      <c r="C19" s="14" t="s">
        <v>76</v>
      </c>
      <c r="D19" s="15" t="s">
        <v>51</v>
      </c>
      <c r="E19" s="15" t="s">
        <v>77</v>
      </c>
      <c r="F19" s="38" t="s">
        <v>6</v>
      </c>
      <c r="G19" s="15" t="s">
        <v>46</v>
      </c>
      <c r="H19" s="15" t="s">
        <v>45</v>
      </c>
      <c r="I19" s="15" t="s">
        <v>46</v>
      </c>
      <c r="J19" s="15" t="s">
        <v>45</v>
      </c>
      <c r="K19" s="15" t="s">
        <v>46</v>
      </c>
      <c r="L19" s="15" t="s">
        <v>46</v>
      </c>
      <c r="M19" s="15" t="s">
        <v>45</v>
      </c>
      <c r="N19" s="15" t="s">
        <v>46</v>
      </c>
      <c r="O19" s="15" t="s">
        <v>46</v>
      </c>
      <c r="P19" s="15" t="s">
        <v>46</v>
      </c>
      <c r="Q19" s="39" t="n">
        <f aca="false">COUNTIF(G19:P19,"YES")</f>
        <v>3</v>
      </c>
      <c r="R19" s="40"/>
      <c r="S19" s="15"/>
    </row>
    <row r="20" customFormat="false" ht="21.75" hidden="false" customHeight="true" outlineLevel="0" collapsed="false">
      <c r="B20" s="41" t="n">
        <v>16</v>
      </c>
      <c r="C20" s="4" t="s">
        <v>78</v>
      </c>
      <c r="D20" s="5" t="s">
        <v>65</v>
      </c>
      <c r="E20" s="5" t="s">
        <v>79</v>
      </c>
      <c r="F20" s="38" t="s">
        <v>4</v>
      </c>
      <c r="G20" s="5" t="s">
        <v>45</v>
      </c>
      <c r="H20" s="5" t="s">
        <v>46</v>
      </c>
      <c r="I20" s="5" t="s">
        <v>45</v>
      </c>
      <c r="J20" s="5" t="s">
        <v>46</v>
      </c>
      <c r="K20" s="5" t="s">
        <v>46</v>
      </c>
      <c r="L20" s="5" t="s">
        <v>45</v>
      </c>
      <c r="M20" s="5" t="s">
        <v>46</v>
      </c>
      <c r="N20" s="5" t="s">
        <v>45</v>
      </c>
      <c r="O20" s="5" t="s">
        <v>45</v>
      </c>
      <c r="P20" s="5" t="s">
        <v>46</v>
      </c>
      <c r="Q20" s="39" t="n">
        <f aca="false">COUNTIF(G20:P20,"YES")</f>
        <v>5</v>
      </c>
      <c r="R20" s="42"/>
      <c r="S20" s="5"/>
    </row>
    <row r="21" customFormat="false" ht="21.75" hidden="false" customHeight="true" outlineLevel="0" collapsed="false">
      <c r="B21" s="37" t="n">
        <v>17</v>
      </c>
      <c r="C21" s="14" t="s">
        <v>80</v>
      </c>
      <c r="D21" s="15" t="s">
        <v>43</v>
      </c>
      <c r="E21" s="15" t="s">
        <v>81</v>
      </c>
      <c r="F21" s="38" t="s">
        <v>6</v>
      </c>
      <c r="G21" s="15" t="s">
        <v>46</v>
      </c>
      <c r="H21" s="15" t="s">
        <v>46</v>
      </c>
      <c r="I21" s="15" t="s">
        <v>45</v>
      </c>
      <c r="J21" s="15" t="s">
        <v>46</v>
      </c>
      <c r="K21" s="15" t="s">
        <v>46</v>
      </c>
      <c r="L21" s="15" t="s">
        <v>45</v>
      </c>
      <c r="M21" s="15" t="s">
        <v>45</v>
      </c>
      <c r="N21" s="15" t="s">
        <v>46</v>
      </c>
      <c r="O21" s="15" t="s">
        <v>45</v>
      </c>
      <c r="P21" s="15" t="s">
        <v>45</v>
      </c>
      <c r="Q21" s="39" t="n">
        <f aca="false">COUNTIF(G21:P21,"YES")</f>
        <v>5</v>
      </c>
      <c r="R21" s="40"/>
      <c r="S21" s="15"/>
    </row>
    <row r="22" customFormat="false" ht="21.75" hidden="false" customHeight="true" outlineLevel="0" collapsed="false">
      <c r="B22" s="41" t="n">
        <v>18</v>
      </c>
      <c r="C22" s="4" t="s">
        <v>82</v>
      </c>
      <c r="D22" s="5" t="s">
        <v>74</v>
      </c>
      <c r="E22" s="5" t="s">
        <v>83</v>
      </c>
      <c r="F22" s="38" t="s">
        <v>6</v>
      </c>
      <c r="G22" s="5" t="s">
        <v>46</v>
      </c>
      <c r="H22" s="5" t="s">
        <v>46</v>
      </c>
      <c r="I22" s="5" t="s">
        <v>45</v>
      </c>
      <c r="J22" s="5" t="s">
        <v>46</v>
      </c>
      <c r="K22" s="5" t="s">
        <v>45</v>
      </c>
      <c r="L22" s="5" t="s">
        <v>46</v>
      </c>
      <c r="M22" s="5" t="s">
        <v>46</v>
      </c>
      <c r="N22" s="5" t="s">
        <v>46</v>
      </c>
      <c r="O22" s="5" t="s">
        <v>46</v>
      </c>
      <c r="P22" s="5" t="s">
        <v>45</v>
      </c>
      <c r="Q22" s="39" t="n">
        <f aca="false">COUNTIF(G22:P22,"YES")</f>
        <v>3</v>
      </c>
      <c r="R22" s="42"/>
      <c r="S22" s="5"/>
    </row>
    <row r="23" customFormat="false" ht="21.75" hidden="false" customHeight="true" outlineLevel="0" collapsed="false">
      <c r="B23" s="37" t="n">
        <v>19</v>
      </c>
      <c r="C23" s="14" t="s">
        <v>84</v>
      </c>
      <c r="D23" s="15" t="s">
        <v>65</v>
      </c>
      <c r="E23" s="15" t="s">
        <v>72</v>
      </c>
      <c r="F23" s="38" t="s">
        <v>4</v>
      </c>
      <c r="G23" s="15" t="s">
        <v>45</v>
      </c>
      <c r="H23" s="15" t="s">
        <v>46</v>
      </c>
      <c r="I23" s="15" t="s">
        <v>45</v>
      </c>
      <c r="J23" s="15" t="s">
        <v>46</v>
      </c>
      <c r="K23" s="15" t="s">
        <v>45</v>
      </c>
      <c r="L23" s="15" t="s">
        <v>46</v>
      </c>
      <c r="M23" s="15" t="s">
        <v>46</v>
      </c>
      <c r="N23" s="15" t="s">
        <v>46</v>
      </c>
      <c r="O23" s="15" t="s">
        <v>46</v>
      </c>
      <c r="P23" s="15" t="s">
        <v>45</v>
      </c>
      <c r="Q23" s="39" t="n">
        <f aca="false">COUNTIF(G23:P23,"YES")</f>
        <v>4</v>
      </c>
      <c r="R23" s="40"/>
      <c r="S23" s="15"/>
    </row>
  </sheetData>
  <mergeCells count="1">
    <mergeCell ref="B2:R2"/>
  </mergeCells>
  <conditionalFormatting sqref="F5:F23">
    <cfRule type="containsText" priority="2" operator="containsText" aboveAverage="0" equalAverage="0" bottom="0" percent="0" rank="0" text="GREEN" dxfId="0">
      <formula>NOT(ISERROR(SEARCH("GREEN",F5)))</formula>
    </cfRule>
    <cfRule type="containsText" priority="3" operator="containsText" aboveAverage="0" equalAverage="0" bottom="0" percent="0" rank="0" text="YELLOW" dxfId="1">
      <formula>NOT(ISERROR(SEARCH("YELLOW",F5)))</formula>
    </cfRule>
    <cfRule type="containsText" priority="4" operator="containsText" aboveAverage="0" equalAverage="0" bottom="0" percent="0" rank="0" text="RED" dxfId="2">
      <formula>NOT(ISERROR(SEARCH("RED",F5)))</formula>
    </cfRule>
    <cfRule type="containsText" priority="5" operator="containsText" aboveAverage="0" equalAverage="0" bottom="0" percent="0" rank="0" text="BLACK" dxfId="3">
      <formula>NOT(ISERROR(SEARCH("BLACK",F5)))</formula>
    </cfRule>
  </conditionalFormatting>
  <conditionalFormatting sqref="Q5:Q23">
    <cfRule type="cellIs" priority="6" operator="between" aboveAverage="0" equalAverage="0" bottom="0" percent="0" rank="0" text="" dxfId="0">
      <formula>0</formula>
      <formula>2</formula>
    </cfRule>
    <cfRule type="cellIs" priority="7" operator="between" aboveAverage="0" equalAverage="0" bottom="0" percent="0" rank="0" text="" dxfId="1">
      <formula>3</formula>
      <formula>5</formula>
    </cfRule>
    <cfRule type="cellIs" priority="8" operator="between" aboveAverage="0" equalAverage="0" bottom="0" percent="0" rank="0" text="" dxfId="2">
      <formula>6</formula>
      <formula>8</formula>
    </cfRule>
    <cfRule type="cellIs" priority="9" operator="between" aboveAverage="0" equalAverage="0" bottom="0" percent="0" rank="0" text="" dxfId="3">
      <formula>9</formula>
      <formula>99</formula>
    </cfRule>
  </conditionalFormatting>
  <dataValidations count="191">
    <dataValidation allowBlank="true" error="Please select a valid status." errorStyle="stop" errorTitle="Invalid Entry" operator="between" showDropDown="false" showErrorMessage="true" showInputMessage="false" sqref="F5:F23" type="list">
      <formula1>"🟢 GREEN,🟡 YELLOW,🔴 RED,⚫ BLACK"</formula1>
      <formula2>0</formula2>
    </dataValidation>
    <dataValidation allowBlank="true" errorStyle="stop" operator="between" showDropDown="false" showErrorMessage="false" showInputMessage="false" sqref="G5" type="list">
      <formula1>"YES,NO"</formula1>
      <formula2>0</formula2>
    </dataValidation>
    <dataValidation allowBlank="true" errorStyle="stop" operator="between" showDropDown="false" showErrorMessage="false" showInputMessage="false" sqref="H5" type="list">
      <formula1>"YES,NO"</formula1>
      <formula2>0</formula2>
    </dataValidation>
    <dataValidation allowBlank="true" errorStyle="stop" operator="between" showDropDown="false" showErrorMessage="false" showInputMessage="false" sqref="I5" type="list">
      <formula1>"YES,NO"</formula1>
      <formula2>0</formula2>
    </dataValidation>
    <dataValidation allowBlank="true" errorStyle="stop" operator="between" showDropDown="false" showErrorMessage="false" showInputMessage="false" sqref="J5" type="list">
      <formula1>"YES,NO"</formula1>
      <formula2>0</formula2>
    </dataValidation>
    <dataValidation allowBlank="true" errorStyle="stop" operator="between" showDropDown="false" showErrorMessage="false" showInputMessage="false" sqref="K5" type="list">
      <formula1>"YES,NO"</formula1>
      <formula2>0</formula2>
    </dataValidation>
    <dataValidation allowBlank="true" errorStyle="stop" operator="between" showDropDown="false" showErrorMessage="false" showInputMessage="false" sqref="L5" type="list">
      <formula1>"YES,NO"</formula1>
      <formula2>0</formula2>
    </dataValidation>
    <dataValidation allowBlank="true" errorStyle="stop" operator="between" showDropDown="false" showErrorMessage="false" showInputMessage="false" sqref="M5" type="list">
      <formula1>"YES,NO"</formula1>
      <formula2>0</formula2>
    </dataValidation>
    <dataValidation allowBlank="true" errorStyle="stop" operator="between" showDropDown="false" showErrorMessage="false" showInputMessage="false" sqref="N5" type="list">
      <formula1>"YES,NO"</formula1>
      <formula2>0</formula2>
    </dataValidation>
    <dataValidation allowBlank="true" errorStyle="stop" operator="between" showDropDown="false" showErrorMessage="false" showInputMessage="false" sqref="O5" type="list">
      <formula1>"YES,NO"</formula1>
      <formula2>0</formula2>
    </dataValidation>
    <dataValidation allowBlank="true" errorStyle="stop" operator="between" showDropDown="false" showErrorMessage="false" showInputMessage="false" sqref="P5" type="list">
      <formula1>"YES,NO"</formula1>
      <formula2>0</formula2>
    </dataValidation>
    <dataValidation allowBlank="true" errorStyle="stop" operator="between" showDropDown="false" showErrorMessage="false" showInputMessage="false" sqref="G6" type="list">
      <formula1>"YES,NO"</formula1>
      <formula2>0</formula2>
    </dataValidation>
    <dataValidation allowBlank="true" errorStyle="stop" operator="between" showDropDown="false" showErrorMessage="false" showInputMessage="false" sqref="H6" type="list">
      <formula1>"YES,NO"</formula1>
      <formula2>0</formula2>
    </dataValidation>
    <dataValidation allowBlank="true" errorStyle="stop" operator="between" showDropDown="false" showErrorMessage="false" showInputMessage="false" sqref="I6" type="list">
      <formula1>"YES,NO"</formula1>
      <formula2>0</formula2>
    </dataValidation>
    <dataValidation allowBlank="true" errorStyle="stop" operator="between" showDropDown="false" showErrorMessage="false" showInputMessage="false" sqref="J6" type="list">
      <formula1>"YES,NO"</formula1>
      <formula2>0</formula2>
    </dataValidation>
    <dataValidation allowBlank="true" errorStyle="stop" operator="between" showDropDown="false" showErrorMessage="false" showInputMessage="false" sqref="K6" type="list">
      <formula1>"YES,NO"</formula1>
      <formula2>0</formula2>
    </dataValidation>
    <dataValidation allowBlank="true" errorStyle="stop" operator="between" showDropDown="false" showErrorMessage="false" showInputMessage="false" sqref="L6" type="list">
      <formula1>"YES,NO"</formula1>
      <formula2>0</formula2>
    </dataValidation>
    <dataValidation allowBlank="true" errorStyle="stop" operator="between" showDropDown="false" showErrorMessage="false" showInputMessage="false" sqref="M6" type="list">
      <formula1>"YES,NO"</formula1>
      <formula2>0</formula2>
    </dataValidation>
    <dataValidation allowBlank="true" errorStyle="stop" operator="between" showDropDown="false" showErrorMessage="false" showInputMessage="false" sqref="N6" type="list">
      <formula1>"YES,NO"</formula1>
      <formula2>0</formula2>
    </dataValidation>
    <dataValidation allowBlank="true" errorStyle="stop" operator="between" showDropDown="false" showErrorMessage="false" showInputMessage="false" sqref="O6" type="list">
      <formula1>"YES,NO"</formula1>
      <formula2>0</formula2>
    </dataValidation>
    <dataValidation allowBlank="true" errorStyle="stop" operator="between" showDropDown="false" showErrorMessage="false" showInputMessage="false" sqref="P6" type="list">
      <formula1>"YES,NO"</formula1>
      <formula2>0</formula2>
    </dataValidation>
    <dataValidation allowBlank="true" errorStyle="stop" operator="between" showDropDown="false" showErrorMessage="false" showInputMessage="false" sqref="G7" type="list">
      <formula1>"YES,NO"</formula1>
      <formula2>0</formula2>
    </dataValidation>
    <dataValidation allowBlank="true" errorStyle="stop" operator="between" showDropDown="false" showErrorMessage="false" showInputMessage="false" sqref="H7" type="list">
      <formula1>"YES,NO"</formula1>
      <formula2>0</formula2>
    </dataValidation>
    <dataValidation allowBlank="true" errorStyle="stop" operator="between" showDropDown="false" showErrorMessage="false" showInputMessage="false" sqref="I7" type="list">
      <formula1>"YES,NO"</formula1>
      <formula2>0</formula2>
    </dataValidation>
    <dataValidation allowBlank="true" errorStyle="stop" operator="between" showDropDown="false" showErrorMessage="false" showInputMessage="false" sqref="J7" type="list">
      <formula1>"YES,NO"</formula1>
      <formula2>0</formula2>
    </dataValidation>
    <dataValidation allowBlank="true" errorStyle="stop" operator="between" showDropDown="false" showErrorMessage="false" showInputMessage="false" sqref="K7" type="list">
      <formula1>"YES,NO"</formula1>
      <formula2>0</formula2>
    </dataValidation>
    <dataValidation allowBlank="true" errorStyle="stop" operator="between" showDropDown="false" showErrorMessage="false" showInputMessage="false" sqref="L7" type="list">
      <formula1>"YES,NO"</formula1>
      <formula2>0</formula2>
    </dataValidation>
    <dataValidation allowBlank="true" errorStyle="stop" operator="between" showDropDown="false" showErrorMessage="false" showInputMessage="false" sqref="M7" type="list">
      <formula1>"YES,NO"</formula1>
      <formula2>0</formula2>
    </dataValidation>
    <dataValidation allowBlank="true" errorStyle="stop" operator="between" showDropDown="false" showErrorMessage="false" showInputMessage="false" sqref="N7" type="list">
      <formula1>"YES,NO"</formula1>
      <formula2>0</formula2>
    </dataValidation>
    <dataValidation allowBlank="true" errorStyle="stop" operator="between" showDropDown="false" showErrorMessage="false" showInputMessage="false" sqref="O7" type="list">
      <formula1>"YES,NO"</formula1>
      <formula2>0</formula2>
    </dataValidation>
    <dataValidation allowBlank="true" errorStyle="stop" operator="between" showDropDown="false" showErrorMessage="false" showInputMessage="false" sqref="P7" type="list">
      <formula1>"YES,NO"</formula1>
      <formula2>0</formula2>
    </dataValidation>
    <dataValidation allowBlank="true" errorStyle="stop" operator="between" showDropDown="false" showErrorMessage="false" showInputMessage="false" sqref="G8" type="list">
      <formula1>"YES,NO"</formula1>
      <formula2>0</formula2>
    </dataValidation>
    <dataValidation allowBlank="true" errorStyle="stop" operator="between" showDropDown="false" showErrorMessage="false" showInputMessage="false" sqref="H8" type="list">
      <formula1>"YES,NO"</formula1>
      <formula2>0</formula2>
    </dataValidation>
    <dataValidation allowBlank="true" errorStyle="stop" operator="between" showDropDown="false" showErrorMessage="false" showInputMessage="false" sqref="I8" type="list">
      <formula1>"YES,NO"</formula1>
      <formula2>0</formula2>
    </dataValidation>
    <dataValidation allowBlank="true" errorStyle="stop" operator="between" showDropDown="false" showErrorMessage="false" showInputMessage="false" sqref="J8" type="list">
      <formula1>"YES,NO"</formula1>
      <formula2>0</formula2>
    </dataValidation>
    <dataValidation allowBlank="true" errorStyle="stop" operator="between" showDropDown="false" showErrorMessage="false" showInputMessage="false" sqref="K8" type="list">
      <formula1>"YES,NO"</formula1>
      <formula2>0</formula2>
    </dataValidation>
    <dataValidation allowBlank="true" errorStyle="stop" operator="between" showDropDown="false" showErrorMessage="false" showInputMessage="false" sqref="L8" type="list">
      <formula1>"YES,NO"</formula1>
      <formula2>0</formula2>
    </dataValidation>
    <dataValidation allowBlank="true" errorStyle="stop" operator="between" showDropDown="false" showErrorMessage="false" showInputMessage="false" sqref="M8" type="list">
      <formula1>"YES,NO"</formula1>
      <formula2>0</formula2>
    </dataValidation>
    <dataValidation allowBlank="true" errorStyle="stop" operator="between" showDropDown="false" showErrorMessage="false" showInputMessage="false" sqref="N8" type="list">
      <formula1>"YES,NO"</formula1>
      <formula2>0</formula2>
    </dataValidation>
    <dataValidation allowBlank="true" errorStyle="stop" operator="between" showDropDown="false" showErrorMessage="false" showInputMessage="false" sqref="O8" type="list">
      <formula1>"YES,NO"</formula1>
      <formula2>0</formula2>
    </dataValidation>
    <dataValidation allowBlank="true" errorStyle="stop" operator="between" showDropDown="false" showErrorMessage="false" showInputMessage="false" sqref="P8" type="list">
      <formula1>"YES,NO"</formula1>
      <formula2>0</formula2>
    </dataValidation>
    <dataValidation allowBlank="true" errorStyle="stop" operator="between" showDropDown="false" showErrorMessage="false" showInputMessage="false" sqref="G9" type="list">
      <formula1>"YES,NO"</formula1>
      <formula2>0</formula2>
    </dataValidation>
    <dataValidation allowBlank="true" errorStyle="stop" operator="between" showDropDown="false" showErrorMessage="false" showInputMessage="false" sqref="H9" type="list">
      <formula1>"YES,NO"</formula1>
      <formula2>0</formula2>
    </dataValidation>
    <dataValidation allowBlank="true" errorStyle="stop" operator="between" showDropDown="false" showErrorMessage="false" showInputMessage="false" sqref="I9" type="list">
      <formula1>"YES,NO"</formula1>
      <formula2>0</formula2>
    </dataValidation>
    <dataValidation allowBlank="true" errorStyle="stop" operator="between" showDropDown="false" showErrorMessage="false" showInputMessage="false" sqref="J9" type="list">
      <formula1>"YES,NO"</formula1>
      <formula2>0</formula2>
    </dataValidation>
    <dataValidation allowBlank="true" errorStyle="stop" operator="between" showDropDown="false" showErrorMessage="false" showInputMessage="false" sqref="K9" type="list">
      <formula1>"YES,NO"</formula1>
      <formula2>0</formula2>
    </dataValidation>
    <dataValidation allowBlank="true" errorStyle="stop" operator="between" showDropDown="false" showErrorMessage="false" showInputMessage="false" sqref="L9" type="list">
      <formula1>"YES,NO"</formula1>
      <formula2>0</formula2>
    </dataValidation>
    <dataValidation allowBlank="true" errorStyle="stop" operator="between" showDropDown="false" showErrorMessage="false" showInputMessage="false" sqref="M9" type="list">
      <formula1>"YES,NO"</formula1>
      <formula2>0</formula2>
    </dataValidation>
    <dataValidation allowBlank="true" errorStyle="stop" operator="between" showDropDown="false" showErrorMessage="false" showInputMessage="false" sqref="N9" type="list">
      <formula1>"YES,NO"</formula1>
      <formula2>0</formula2>
    </dataValidation>
    <dataValidation allowBlank="true" errorStyle="stop" operator="between" showDropDown="false" showErrorMessage="false" showInputMessage="false" sqref="O9" type="list">
      <formula1>"YES,NO"</formula1>
      <formula2>0</formula2>
    </dataValidation>
    <dataValidation allowBlank="true" errorStyle="stop" operator="between" showDropDown="false" showErrorMessage="false" showInputMessage="false" sqref="P9" type="list">
      <formula1>"YES,NO"</formula1>
      <formula2>0</formula2>
    </dataValidation>
    <dataValidation allowBlank="true" errorStyle="stop" operator="between" showDropDown="false" showErrorMessage="false" showInputMessage="false" sqref="G10" type="list">
      <formula1>"YES,NO"</formula1>
      <formula2>0</formula2>
    </dataValidation>
    <dataValidation allowBlank="true" errorStyle="stop" operator="between" showDropDown="false" showErrorMessage="false" showInputMessage="false" sqref="H10" type="list">
      <formula1>"YES,NO"</formula1>
      <formula2>0</formula2>
    </dataValidation>
    <dataValidation allowBlank="true" errorStyle="stop" operator="between" showDropDown="false" showErrorMessage="false" showInputMessage="false" sqref="I10" type="list">
      <formula1>"YES,NO"</formula1>
      <formula2>0</formula2>
    </dataValidation>
    <dataValidation allowBlank="true" errorStyle="stop" operator="between" showDropDown="false" showErrorMessage="false" showInputMessage="false" sqref="J10" type="list">
      <formula1>"YES,NO"</formula1>
      <formula2>0</formula2>
    </dataValidation>
    <dataValidation allowBlank="true" errorStyle="stop" operator="between" showDropDown="false" showErrorMessage="false" showInputMessage="false" sqref="K10" type="list">
      <formula1>"YES,NO"</formula1>
      <formula2>0</formula2>
    </dataValidation>
    <dataValidation allowBlank="true" errorStyle="stop" operator="between" showDropDown="false" showErrorMessage="false" showInputMessage="false" sqref="L10" type="list">
      <formula1>"YES,NO"</formula1>
      <formula2>0</formula2>
    </dataValidation>
    <dataValidation allowBlank="true" errorStyle="stop" operator="between" showDropDown="false" showErrorMessage="false" showInputMessage="false" sqref="M10" type="list">
      <formula1>"YES,NO"</formula1>
      <formula2>0</formula2>
    </dataValidation>
    <dataValidation allowBlank="true" errorStyle="stop" operator="between" showDropDown="false" showErrorMessage="false" showInputMessage="false" sqref="N10" type="list">
      <formula1>"YES,NO"</formula1>
      <formula2>0</formula2>
    </dataValidation>
    <dataValidation allowBlank="true" errorStyle="stop" operator="between" showDropDown="false" showErrorMessage="false" showInputMessage="false" sqref="O10" type="list">
      <formula1>"YES,NO"</formula1>
      <formula2>0</formula2>
    </dataValidation>
    <dataValidation allowBlank="true" errorStyle="stop" operator="between" showDropDown="false" showErrorMessage="false" showInputMessage="false" sqref="P10" type="list">
      <formula1>"YES,NO"</formula1>
      <formula2>0</formula2>
    </dataValidation>
    <dataValidation allowBlank="true" errorStyle="stop" operator="between" showDropDown="false" showErrorMessage="false" showInputMessage="false" sqref="G11" type="list">
      <formula1>"YES,NO"</formula1>
      <formula2>0</formula2>
    </dataValidation>
    <dataValidation allowBlank="true" errorStyle="stop" operator="between" showDropDown="false" showErrorMessage="false" showInputMessage="false" sqref="H11" type="list">
      <formula1>"YES,NO"</formula1>
      <formula2>0</formula2>
    </dataValidation>
    <dataValidation allowBlank="true" errorStyle="stop" operator="between" showDropDown="false" showErrorMessage="false" showInputMessage="false" sqref="I11" type="list">
      <formula1>"YES,NO"</formula1>
      <formula2>0</formula2>
    </dataValidation>
    <dataValidation allowBlank="true" errorStyle="stop" operator="between" showDropDown="false" showErrorMessage="false" showInputMessage="false" sqref="J11" type="list">
      <formula1>"YES,NO"</formula1>
      <formula2>0</formula2>
    </dataValidation>
    <dataValidation allowBlank="true" errorStyle="stop" operator="between" showDropDown="false" showErrorMessage="false" showInputMessage="false" sqref="K11" type="list">
      <formula1>"YES,NO"</formula1>
      <formula2>0</formula2>
    </dataValidation>
    <dataValidation allowBlank="true" errorStyle="stop" operator="between" showDropDown="false" showErrorMessage="false" showInputMessage="false" sqref="L11" type="list">
      <formula1>"YES,NO"</formula1>
      <formula2>0</formula2>
    </dataValidation>
    <dataValidation allowBlank="true" errorStyle="stop" operator="between" showDropDown="false" showErrorMessage="false" showInputMessage="false" sqref="M11" type="list">
      <formula1>"YES,NO"</formula1>
      <formula2>0</formula2>
    </dataValidation>
    <dataValidation allowBlank="true" errorStyle="stop" operator="between" showDropDown="false" showErrorMessage="false" showInputMessage="false" sqref="N11" type="list">
      <formula1>"YES,NO"</formula1>
      <formula2>0</formula2>
    </dataValidation>
    <dataValidation allowBlank="true" errorStyle="stop" operator="between" showDropDown="false" showErrorMessage="false" showInputMessage="false" sqref="O11" type="list">
      <formula1>"YES,NO"</formula1>
      <formula2>0</formula2>
    </dataValidation>
    <dataValidation allowBlank="true" errorStyle="stop" operator="between" showDropDown="false" showErrorMessage="false" showInputMessage="false" sqref="P11" type="list">
      <formula1>"YES,NO"</formula1>
      <formula2>0</formula2>
    </dataValidation>
    <dataValidation allowBlank="true" errorStyle="stop" operator="between" showDropDown="false" showErrorMessage="false" showInputMessage="false" sqref="G12" type="list">
      <formula1>"YES,NO"</formula1>
      <formula2>0</formula2>
    </dataValidation>
    <dataValidation allowBlank="true" errorStyle="stop" operator="between" showDropDown="false" showErrorMessage="false" showInputMessage="false" sqref="H12" type="list">
      <formula1>"YES,NO"</formula1>
      <formula2>0</formula2>
    </dataValidation>
    <dataValidation allowBlank="true" errorStyle="stop" operator="between" showDropDown="false" showErrorMessage="false" showInputMessage="false" sqref="I12" type="list">
      <formula1>"YES,NO"</formula1>
      <formula2>0</formula2>
    </dataValidation>
    <dataValidation allowBlank="true" errorStyle="stop" operator="between" showDropDown="false" showErrorMessage="false" showInputMessage="false" sqref="J12" type="list">
      <formula1>"YES,NO"</formula1>
      <formula2>0</formula2>
    </dataValidation>
    <dataValidation allowBlank="true" errorStyle="stop" operator="between" showDropDown="false" showErrorMessage="false" showInputMessage="false" sqref="K12" type="list">
      <formula1>"YES,NO"</formula1>
      <formula2>0</formula2>
    </dataValidation>
    <dataValidation allowBlank="true" errorStyle="stop" operator="between" showDropDown="false" showErrorMessage="false" showInputMessage="false" sqref="L12" type="list">
      <formula1>"YES,NO"</formula1>
      <formula2>0</formula2>
    </dataValidation>
    <dataValidation allowBlank="true" errorStyle="stop" operator="between" showDropDown="false" showErrorMessage="false" showInputMessage="false" sqref="M12" type="list">
      <formula1>"YES,NO"</formula1>
      <formula2>0</formula2>
    </dataValidation>
    <dataValidation allowBlank="true" errorStyle="stop" operator="between" showDropDown="false" showErrorMessage="false" showInputMessage="false" sqref="N12" type="list">
      <formula1>"YES,NO"</formula1>
      <formula2>0</formula2>
    </dataValidation>
    <dataValidation allowBlank="true" errorStyle="stop" operator="between" showDropDown="false" showErrorMessage="false" showInputMessage="false" sqref="O12" type="list">
      <formula1>"YES,NO"</formula1>
      <formula2>0</formula2>
    </dataValidation>
    <dataValidation allowBlank="true" errorStyle="stop" operator="between" showDropDown="false" showErrorMessage="false" showInputMessage="false" sqref="P12" type="list">
      <formula1>"YES,NO"</formula1>
      <formula2>0</formula2>
    </dataValidation>
    <dataValidation allowBlank="true" errorStyle="stop" operator="between" showDropDown="false" showErrorMessage="false" showInputMessage="false" sqref="G13" type="list">
      <formula1>"YES,NO"</formula1>
      <formula2>0</formula2>
    </dataValidation>
    <dataValidation allowBlank="true" errorStyle="stop" operator="between" showDropDown="false" showErrorMessage="false" showInputMessage="false" sqref="H13" type="list">
      <formula1>"YES,NO"</formula1>
      <formula2>0</formula2>
    </dataValidation>
    <dataValidation allowBlank="true" errorStyle="stop" operator="between" showDropDown="false" showErrorMessage="false" showInputMessage="false" sqref="I13" type="list">
      <formula1>"YES,NO"</formula1>
      <formula2>0</formula2>
    </dataValidation>
    <dataValidation allowBlank="true" errorStyle="stop" operator="between" showDropDown="false" showErrorMessage="false" showInputMessage="false" sqref="J13" type="list">
      <formula1>"YES,NO"</formula1>
      <formula2>0</formula2>
    </dataValidation>
    <dataValidation allowBlank="true" errorStyle="stop" operator="between" showDropDown="false" showErrorMessage="false" showInputMessage="false" sqref="K13" type="list">
      <formula1>"YES,NO"</formula1>
      <formula2>0</formula2>
    </dataValidation>
    <dataValidation allowBlank="true" errorStyle="stop" operator="between" showDropDown="false" showErrorMessage="false" showInputMessage="false" sqref="L13" type="list">
      <formula1>"YES,NO"</formula1>
      <formula2>0</formula2>
    </dataValidation>
    <dataValidation allowBlank="true" errorStyle="stop" operator="between" showDropDown="false" showErrorMessage="false" showInputMessage="false" sqref="M13" type="list">
      <formula1>"YES,NO"</formula1>
      <formula2>0</formula2>
    </dataValidation>
    <dataValidation allowBlank="true" errorStyle="stop" operator="between" showDropDown="false" showErrorMessage="false" showInputMessage="false" sqref="N13" type="list">
      <formula1>"YES,NO"</formula1>
      <formula2>0</formula2>
    </dataValidation>
    <dataValidation allowBlank="true" errorStyle="stop" operator="between" showDropDown="false" showErrorMessage="false" showInputMessage="false" sqref="O13" type="list">
      <formula1>"YES,NO"</formula1>
      <formula2>0</formula2>
    </dataValidation>
    <dataValidation allowBlank="true" errorStyle="stop" operator="between" showDropDown="false" showErrorMessage="false" showInputMessage="false" sqref="P13" type="list">
      <formula1>"YES,NO"</formula1>
      <formula2>0</formula2>
    </dataValidation>
    <dataValidation allowBlank="true" errorStyle="stop" operator="between" showDropDown="false" showErrorMessage="false" showInputMessage="false" sqref="G14" type="list">
      <formula1>"YES,NO"</formula1>
      <formula2>0</formula2>
    </dataValidation>
    <dataValidation allowBlank="true" errorStyle="stop" operator="between" showDropDown="false" showErrorMessage="false" showInputMessage="false" sqref="H14" type="list">
      <formula1>"YES,NO"</formula1>
      <formula2>0</formula2>
    </dataValidation>
    <dataValidation allowBlank="true" errorStyle="stop" operator="between" showDropDown="false" showErrorMessage="false" showInputMessage="false" sqref="I14" type="list">
      <formula1>"YES,NO"</formula1>
      <formula2>0</formula2>
    </dataValidation>
    <dataValidation allowBlank="true" errorStyle="stop" operator="between" showDropDown="false" showErrorMessage="false" showInputMessage="false" sqref="J14" type="list">
      <formula1>"YES,NO"</formula1>
      <formula2>0</formula2>
    </dataValidation>
    <dataValidation allowBlank="true" errorStyle="stop" operator="between" showDropDown="false" showErrorMessage="false" showInputMessage="false" sqref="K14" type="list">
      <formula1>"YES,NO"</formula1>
      <formula2>0</formula2>
    </dataValidation>
    <dataValidation allowBlank="true" errorStyle="stop" operator="between" showDropDown="false" showErrorMessage="false" showInputMessage="false" sqref="L14" type="list">
      <formula1>"YES,NO"</formula1>
      <formula2>0</formula2>
    </dataValidation>
    <dataValidation allowBlank="true" errorStyle="stop" operator="between" showDropDown="false" showErrorMessage="false" showInputMessage="false" sqref="M14" type="list">
      <formula1>"YES,NO"</formula1>
      <formula2>0</formula2>
    </dataValidation>
    <dataValidation allowBlank="true" errorStyle="stop" operator="between" showDropDown="false" showErrorMessage="false" showInputMessage="false" sqref="N14" type="list">
      <formula1>"YES,NO"</formula1>
      <formula2>0</formula2>
    </dataValidation>
    <dataValidation allowBlank="true" errorStyle="stop" operator="between" showDropDown="false" showErrorMessage="false" showInputMessage="false" sqref="O14" type="list">
      <formula1>"YES,NO"</formula1>
      <formula2>0</formula2>
    </dataValidation>
    <dataValidation allowBlank="true" errorStyle="stop" operator="between" showDropDown="false" showErrorMessage="false" showInputMessage="false" sqref="P14" type="list">
      <formula1>"YES,NO"</formula1>
      <formula2>0</formula2>
    </dataValidation>
    <dataValidation allowBlank="true" errorStyle="stop" operator="between" showDropDown="false" showErrorMessage="false" showInputMessage="false" sqref="G15" type="list">
      <formula1>"YES,NO"</formula1>
      <formula2>0</formula2>
    </dataValidation>
    <dataValidation allowBlank="true" errorStyle="stop" operator="between" showDropDown="false" showErrorMessage="false" showInputMessage="false" sqref="H15" type="list">
      <formula1>"YES,NO"</formula1>
      <formula2>0</formula2>
    </dataValidation>
    <dataValidation allowBlank="true" errorStyle="stop" operator="between" showDropDown="false" showErrorMessage="false" showInputMessage="false" sqref="I15" type="list">
      <formula1>"YES,NO"</formula1>
      <formula2>0</formula2>
    </dataValidation>
    <dataValidation allowBlank="true" errorStyle="stop" operator="between" showDropDown="false" showErrorMessage="false" showInputMessage="false" sqref="J15" type="list">
      <formula1>"YES,NO"</formula1>
      <formula2>0</formula2>
    </dataValidation>
    <dataValidation allowBlank="true" errorStyle="stop" operator="between" showDropDown="false" showErrorMessage="false" showInputMessage="false" sqref="K15" type="list">
      <formula1>"YES,NO"</formula1>
      <formula2>0</formula2>
    </dataValidation>
    <dataValidation allowBlank="true" errorStyle="stop" operator="between" showDropDown="false" showErrorMessage="false" showInputMessage="false" sqref="L15" type="list">
      <formula1>"YES,NO"</formula1>
      <formula2>0</formula2>
    </dataValidation>
    <dataValidation allowBlank="true" errorStyle="stop" operator="between" showDropDown="false" showErrorMessage="false" showInputMessage="false" sqref="M15" type="list">
      <formula1>"YES,NO"</formula1>
      <formula2>0</formula2>
    </dataValidation>
    <dataValidation allowBlank="true" errorStyle="stop" operator="between" showDropDown="false" showErrorMessage="false" showInputMessage="false" sqref="N15" type="list">
      <formula1>"YES,NO"</formula1>
      <formula2>0</formula2>
    </dataValidation>
    <dataValidation allowBlank="true" errorStyle="stop" operator="between" showDropDown="false" showErrorMessage="false" showInputMessage="false" sqref="O15" type="list">
      <formula1>"YES,NO"</formula1>
      <formula2>0</formula2>
    </dataValidation>
    <dataValidation allowBlank="true" errorStyle="stop" operator="between" showDropDown="false" showErrorMessage="false" showInputMessage="false" sqref="P15" type="list">
      <formula1>"YES,NO"</formula1>
      <formula2>0</formula2>
    </dataValidation>
    <dataValidation allowBlank="true" errorStyle="stop" operator="between" showDropDown="false" showErrorMessage="false" showInputMessage="false" sqref="G16" type="list">
      <formula1>"YES,NO"</formula1>
      <formula2>0</formula2>
    </dataValidation>
    <dataValidation allowBlank="true" errorStyle="stop" operator="between" showDropDown="false" showErrorMessage="false" showInputMessage="false" sqref="H16" type="list">
      <formula1>"YES,NO"</formula1>
      <formula2>0</formula2>
    </dataValidation>
    <dataValidation allowBlank="true" errorStyle="stop" operator="between" showDropDown="false" showErrorMessage="false" showInputMessage="false" sqref="I16" type="list">
      <formula1>"YES,NO"</formula1>
      <formula2>0</formula2>
    </dataValidation>
    <dataValidation allowBlank="true" errorStyle="stop" operator="between" showDropDown="false" showErrorMessage="false" showInputMessage="false" sqref="J16" type="list">
      <formula1>"YES,NO"</formula1>
      <formula2>0</formula2>
    </dataValidation>
    <dataValidation allowBlank="true" errorStyle="stop" operator="between" showDropDown="false" showErrorMessage="false" showInputMessage="false" sqref="K16" type="list">
      <formula1>"YES,NO"</formula1>
      <formula2>0</formula2>
    </dataValidation>
    <dataValidation allowBlank="true" errorStyle="stop" operator="between" showDropDown="false" showErrorMessage="false" showInputMessage="false" sqref="L16" type="list">
      <formula1>"YES,NO"</formula1>
      <formula2>0</formula2>
    </dataValidation>
    <dataValidation allowBlank="true" errorStyle="stop" operator="between" showDropDown="false" showErrorMessage="false" showInputMessage="false" sqref="M16" type="list">
      <formula1>"YES,NO"</formula1>
      <formula2>0</formula2>
    </dataValidation>
    <dataValidation allowBlank="true" errorStyle="stop" operator="between" showDropDown="false" showErrorMessage="false" showInputMessage="false" sqref="N16" type="list">
      <formula1>"YES,NO"</formula1>
      <formula2>0</formula2>
    </dataValidation>
    <dataValidation allowBlank="true" errorStyle="stop" operator="between" showDropDown="false" showErrorMessage="false" showInputMessage="false" sqref="O16" type="list">
      <formula1>"YES,NO"</formula1>
      <formula2>0</formula2>
    </dataValidation>
    <dataValidation allowBlank="true" errorStyle="stop" operator="between" showDropDown="false" showErrorMessage="false" showInputMessage="false" sqref="P16" type="list">
      <formula1>"YES,NO"</formula1>
      <formula2>0</formula2>
    </dataValidation>
    <dataValidation allowBlank="true" errorStyle="stop" operator="between" showDropDown="false" showErrorMessage="false" showInputMessage="false" sqref="G17" type="list">
      <formula1>"YES,NO"</formula1>
      <formula2>0</formula2>
    </dataValidation>
    <dataValidation allowBlank="true" errorStyle="stop" operator="between" showDropDown="false" showErrorMessage="false" showInputMessage="false" sqref="H17" type="list">
      <formula1>"YES,NO"</formula1>
      <formula2>0</formula2>
    </dataValidation>
    <dataValidation allowBlank="true" errorStyle="stop" operator="between" showDropDown="false" showErrorMessage="false" showInputMessage="false" sqref="I17" type="list">
      <formula1>"YES,NO"</formula1>
      <formula2>0</formula2>
    </dataValidation>
    <dataValidation allowBlank="true" errorStyle="stop" operator="between" showDropDown="false" showErrorMessage="false" showInputMessage="false" sqref="J17" type="list">
      <formula1>"YES,NO"</formula1>
      <formula2>0</formula2>
    </dataValidation>
    <dataValidation allowBlank="true" errorStyle="stop" operator="between" showDropDown="false" showErrorMessage="false" showInputMessage="false" sqref="K17" type="list">
      <formula1>"YES,NO"</formula1>
      <formula2>0</formula2>
    </dataValidation>
    <dataValidation allowBlank="true" errorStyle="stop" operator="between" showDropDown="false" showErrorMessage="false" showInputMessage="false" sqref="L17" type="list">
      <formula1>"YES,NO"</formula1>
      <formula2>0</formula2>
    </dataValidation>
    <dataValidation allowBlank="true" errorStyle="stop" operator="between" showDropDown="false" showErrorMessage="false" showInputMessage="false" sqref="M17" type="list">
      <formula1>"YES,NO"</formula1>
      <formula2>0</formula2>
    </dataValidation>
    <dataValidation allowBlank="true" errorStyle="stop" operator="between" showDropDown="false" showErrorMessage="false" showInputMessage="false" sqref="N17" type="list">
      <formula1>"YES,NO"</formula1>
      <formula2>0</formula2>
    </dataValidation>
    <dataValidation allowBlank="true" errorStyle="stop" operator="between" showDropDown="false" showErrorMessage="false" showInputMessage="false" sqref="O17" type="list">
      <formula1>"YES,NO"</formula1>
      <formula2>0</formula2>
    </dataValidation>
    <dataValidation allowBlank="true" errorStyle="stop" operator="between" showDropDown="false" showErrorMessage="false" showInputMessage="false" sqref="P17" type="list">
      <formula1>"YES,NO"</formula1>
      <formula2>0</formula2>
    </dataValidation>
    <dataValidation allowBlank="true" errorStyle="stop" operator="between" showDropDown="false" showErrorMessage="false" showInputMessage="false" sqref="G18" type="list">
      <formula1>"YES,NO"</formula1>
      <formula2>0</formula2>
    </dataValidation>
    <dataValidation allowBlank="true" errorStyle="stop" operator="between" showDropDown="false" showErrorMessage="false" showInputMessage="false" sqref="H18" type="list">
      <formula1>"YES,NO"</formula1>
      <formula2>0</formula2>
    </dataValidation>
    <dataValidation allowBlank="true" errorStyle="stop" operator="between" showDropDown="false" showErrorMessage="false" showInputMessage="false" sqref="I18" type="list">
      <formula1>"YES,NO"</formula1>
      <formula2>0</formula2>
    </dataValidation>
    <dataValidation allowBlank="true" errorStyle="stop" operator="between" showDropDown="false" showErrorMessage="false" showInputMessage="false" sqref="J18" type="list">
      <formula1>"YES,NO"</formula1>
      <formula2>0</formula2>
    </dataValidation>
    <dataValidation allowBlank="true" errorStyle="stop" operator="between" showDropDown="false" showErrorMessage="false" showInputMessage="false" sqref="K18" type="list">
      <formula1>"YES,NO"</formula1>
      <formula2>0</formula2>
    </dataValidation>
    <dataValidation allowBlank="true" errorStyle="stop" operator="between" showDropDown="false" showErrorMessage="false" showInputMessage="false" sqref="L18" type="list">
      <formula1>"YES,NO"</formula1>
      <formula2>0</formula2>
    </dataValidation>
    <dataValidation allowBlank="true" errorStyle="stop" operator="between" showDropDown="false" showErrorMessage="false" showInputMessage="false" sqref="M18" type="list">
      <formula1>"YES,NO"</formula1>
      <formula2>0</formula2>
    </dataValidation>
    <dataValidation allowBlank="true" errorStyle="stop" operator="between" showDropDown="false" showErrorMessage="false" showInputMessage="false" sqref="N18" type="list">
      <formula1>"YES,NO"</formula1>
      <formula2>0</formula2>
    </dataValidation>
    <dataValidation allowBlank="true" errorStyle="stop" operator="between" showDropDown="false" showErrorMessage="false" showInputMessage="false" sqref="O18" type="list">
      <formula1>"YES,NO"</formula1>
      <formula2>0</formula2>
    </dataValidation>
    <dataValidation allowBlank="true" errorStyle="stop" operator="between" showDropDown="false" showErrorMessage="false" showInputMessage="false" sqref="P18" type="list">
      <formula1>"YES,NO"</formula1>
      <formula2>0</formula2>
    </dataValidation>
    <dataValidation allowBlank="true" errorStyle="stop" operator="between" showDropDown="false" showErrorMessage="false" showInputMessage="false" sqref="G19" type="list">
      <formula1>"YES,NO"</formula1>
      <formula2>0</formula2>
    </dataValidation>
    <dataValidation allowBlank="true" errorStyle="stop" operator="between" showDropDown="false" showErrorMessage="false" showInputMessage="false" sqref="H19" type="list">
      <formula1>"YES,NO"</formula1>
      <formula2>0</formula2>
    </dataValidation>
    <dataValidation allowBlank="true" errorStyle="stop" operator="between" showDropDown="false" showErrorMessage="false" showInputMessage="false" sqref="I19" type="list">
      <formula1>"YES,NO"</formula1>
      <formula2>0</formula2>
    </dataValidation>
    <dataValidation allowBlank="true" errorStyle="stop" operator="between" showDropDown="false" showErrorMessage="false" showInputMessage="false" sqref="J19" type="list">
      <formula1>"YES,NO"</formula1>
      <formula2>0</formula2>
    </dataValidation>
    <dataValidation allowBlank="true" errorStyle="stop" operator="between" showDropDown="false" showErrorMessage="false" showInputMessage="false" sqref="K19" type="list">
      <formula1>"YES,NO"</formula1>
      <formula2>0</formula2>
    </dataValidation>
    <dataValidation allowBlank="true" errorStyle="stop" operator="between" showDropDown="false" showErrorMessage="false" showInputMessage="false" sqref="L19" type="list">
      <formula1>"YES,NO"</formula1>
      <formula2>0</formula2>
    </dataValidation>
    <dataValidation allowBlank="true" errorStyle="stop" operator="between" showDropDown="false" showErrorMessage="false" showInputMessage="false" sqref="M19" type="list">
      <formula1>"YES,NO"</formula1>
      <formula2>0</formula2>
    </dataValidation>
    <dataValidation allowBlank="true" errorStyle="stop" operator="between" showDropDown="false" showErrorMessage="false" showInputMessage="false" sqref="N19" type="list">
      <formula1>"YES,NO"</formula1>
      <formula2>0</formula2>
    </dataValidation>
    <dataValidation allowBlank="true" errorStyle="stop" operator="between" showDropDown="false" showErrorMessage="false" showInputMessage="false" sqref="O19" type="list">
      <formula1>"YES,NO"</formula1>
      <formula2>0</formula2>
    </dataValidation>
    <dataValidation allowBlank="true" errorStyle="stop" operator="between" showDropDown="false" showErrorMessage="false" showInputMessage="false" sqref="P19" type="list">
      <formula1>"YES,NO"</formula1>
      <formula2>0</formula2>
    </dataValidation>
    <dataValidation allowBlank="true" errorStyle="stop" operator="between" showDropDown="false" showErrorMessage="false" showInputMessage="false" sqref="G20" type="list">
      <formula1>"YES,NO"</formula1>
      <formula2>0</formula2>
    </dataValidation>
    <dataValidation allowBlank="true" errorStyle="stop" operator="between" showDropDown="false" showErrorMessage="false" showInputMessage="false" sqref="H20" type="list">
      <formula1>"YES,NO"</formula1>
      <formula2>0</formula2>
    </dataValidation>
    <dataValidation allowBlank="true" errorStyle="stop" operator="between" showDropDown="false" showErrorMessage="false" showInputMessage="false" sqref="I20" type="list">
      <formula1>"YES,NO"</formula1>
      <formula2>0</formula2>
    </dataValidation>
    <dataValidation allowBlank="true" errorStyle="stop" operator="between" showDropDown="false" showErrorMessage="false" showInputMessage="false" sqref="J20" type="list">
      <formula1>"YES,NO"</formula1>
      <formula2>0</formula2>
    </dataValidation>
    <dataValidation allowBlank="true" errorStyle="stop" operator="between" showDropDown="false" showErrorMessage="false" showInputMessage="false" sqref="K20" type="list">
      <formula1>"YES,NO"</formula1>
      <formula2>0</formula2>
    </dataValidation>
    <dataValidation allowBlank="true" errorStyle="stop" operator="between" showDropDown="false" showErrorMessage="false" showInputMessage="false" sqref="L20" type="list">
      <formula1>"YES,NO"</formula1>
      <formula2>0</formula2>
    </dataValidation>
    <dataValidation allowBlank="true" errorStyle="stop" operator="between" showDropDown="false" showErrorMessage="false" showInputMessage="false" sqref="M20" type="list">
      <formula1>"YES,NO"</formula1>
      <formula2>0</formula2>
    </dataValidation>
    <dataValidation allowBlank="true" errorStyle="stop" operator="between" showDropDown="false" showErrorMessage="false" showInputMessage="false" sqref="N20" type="list">
      <formula1>"YES,NO"</formula1>
      <formula2>0</formula2>
    </dataValidation>
    <dataValidation allowBlank="true" errorStyle="stop" operator="between" showDropDown="false" showErrorMessage="false" showInputMessage="false" sqref="O20" type="list">
      <formula1>"YES,NO"</formula1>
      <formula2>0</formula2>
    </dataValidation>
    <dataValidation allowBlank="true" errorStyle="stop" operator="between" showDropDown="false" showErrorMessage="false" showInputMessage="false" sqref="P20" type="list">
      <formula1>"YES,NO"</formula1>
      <formula2>0</formula2>
    </dataValidation>
    <dataValidation allowBlank="true" errorStyle="stop" operator="between" showDropDown="false" showErrorMessage="false" showInputMessage="false" sqref="G21" type="list">
      <formula1>"YES,NO"</formula1>
      <formula2>0</formula2>
    </dataValidation>
    <dataValidation allowBlank="true" errorStyle="stop" operator="between" showDropDown="false" showErrorMessage="false" showInputMessage="false" sqref="H21" type="list">
      <formula1>"YES,NO"</formula1>
      <formula2>0</formula2>
    </dataValidation>
    <dataValidation allowBlank="true" errorStyle="stop" operator="between" showDropDown="false" showErrorMessage="false" showInputMessage="false" sqref="I21" type="list">
      <formula1>"YES,NO"</formula1>
      <formula2>0</formula2>
    </dataValidation>
    <dataValidation allowBlank="true" errorStyle="stop" operator="between" showDropDown="false" showErrorMessage="false" showInputMessage="false" sqref="J21" type="list">
      <formula1>"YES,NO"</formula1>
      <formula2>0</formula2>
    </dataValidation>
    <dataValidation allowBlank="true" errorStyle="stop" operator="between" showDropDown="false" showErrorMessage="false" showInputMessage="false" sqref="K21" type="list">
      <formula1>"YES,NO"</formula1>
      <formula2>0</formula2>
    </dataValidation>
    <dataValidation allowBlank="true" errorStyle="stop" operator="between" showDropDown="false" showErrorMessage="false" showInputMessage="false" sqref="L21" type="list">
      <formula1>"YES,NO"</formula1>
      <formula2>0</formula2>
    </dataValidation>
    <dataValidation allowBlank="true" errorStyle="stop" operator="between" showDropDown="false" showErrorMessage="false" showInputMessage="false" sqref="M21" type="list">
      <formula1>"YES,NO"</formula1>
      <formula2>0</formula2>
    </dataValidation>
    <dataValidation allowBlank="true" errorStyle="stop" operator="between" showDropDown="false" showErrorMessage="false" showInputMessage="false" sqref="N21" type="list">
      <formula1>"YES,NO"</formula1>
      <formula2>0</formula2>
    </dataValidation>
    <dataValidation allowBlank="true" errorStyle="stop" operator="between" showDropDown="false" showErrorMessage="false" showInputMessage="false" sqref="O21" type="list">
      <formula1>"YES,NO"</formula1>
      <formula2>0</formula2>
    </dataValidation>
    <dataValidation allowBlank="true" errorStyle="stop" operator="between" showDropDown="false" showErrorMessage="false" showInputMessage="false" sqref="P21" type="list">
      <formula1>"YES,NO"</formula1>
      <formula2>0</formula2>
    </dataValidation>
    <dataValidation allowBlank="true" errorStyle="stop" operator="between" showDropDown="false" showErrorMessage="false" showInputMessage="false" sqref="G22" type="list">
      <formula1>"YES,NO"</formula1>
      <formula2>0</formula2>
    </dataValidation>
    <dataValidation allowBlank="true" errorStyle="stop" operator="between" showDropDown="false" showErrorMessage="false" showInputMessage="false" sqref="H22" type="list">
      <formula1>"YES,NO"</formula1>
      <formula2>0</formula2>
    </dataValidation>
    <dataValidation allowBlank="true" errorStyle="stop" operator="between" showDropDown="false" showErrorMessage="false" showInputMessage="false" sqref="I22" type="list">
      <formula1>"YES,NO"</formula1>
      <formula2>0</formula2>
    </dataValidation>
    <dataValidation allowBlank="true" errorStyle="stop" operator="between" showDropDown="false" showErrorMessage="false" showInputMessage="false" sqref="J22" type="list">
      <formula1>"YES,NO"</formula1>
      <formula2>0</formula2>
    </dataValidation>
    <dataValidation allowBlank="true" errorStyle="stop" operator="between" showDropDown="false" showErrorMessage="false" showInputMessage="false" sqref="K22" type="list">
      <formula1>"YES,NO"</formula1>
      <formula2>0</formula2>
    </dataValidation>
    <dataValidation allowBlank="true" errorStyle="stop" operator="between" showDropDown="false" showErrorMessage="false" showInputMessage="false" sqref="L22" type="list">
      <formula1>"YES,NO"</formula1>
      <formula2>0</formula2>
    </dataValidation>
    <dataValidation allowBlank="true" errorStyle="stop" operator="between" showDropDown="false" showErrorMessage="false" showInputMessage="false" sqref="M22" type="list">
      <formula1>"YES,NO"</formula1>
      <formula2>0</formula2>
    </dataValidation>
    <dataValidation allowBlank="true" errorStyle="stop" operator="between" showDropDown="false" showErrorMessage="false" showInputMessage="false" sqref="N22" type="list">
      <formula1>"YES,NO"</formula1>
      <formula2>0</formula2>
    </dataValidation>
    <dataValidation allowBlank="true" errorStyle="stop" operator="between" showDropDown="false" showErrorMessage="false" showInputMessage="false" sqref="O22" type="list">
      <formula1>"YES,NO"</formula1>
      <formula2>0</formula2>
    </dataValidation>
    <dataValidation allowBlank="true" errorStyle="stop" operator="between" showDropDown="false" showErrorMessage="false" showInputMessage="false" sqref="P22" type="list">
      <formula1>"YES,NO"</formula1>
      <formula2>0</formula2>
    </dataValidation>
    <dataValidation allowBlank="true" errorStyle="stop" operator="between" showDropDown="false" showErrorMessage="false" showInputMessage="false" sqref="G23" type="list">
      <formula1>"YES,NO"</formula1>
      <formula2>0</formula2>
    </dataValidation>
    <dataValidation allowBlank="true" errorStyle="stop" operator="between" showDropDown="false" showErrorMessage="false" showInputMessage="false" sqref="H23" type="list">
      <formula1>"YES,NO"</formula1>
      <formula2>0</formula2>
    </dataValidation>
    <dataValidation allowBlank="true" errorStyle="stop" operator="between" showDropDown="false" showErrorMessage="false" showInputMessage="false" sqref="I23" type="list">
      <formula1>"YES,NO"</formula1>
      <formula2>0</formula2>
    </dataValidation>
    <dataValidation allowBlank="true" errorStyle="stop" operator="between" showDropDown="false" showErrorMessage="false" showInputMessage="false" sqref="J23" type="list">
      <formula1>"YES,NO"</formula1>
      <formula2>0</formula2>
    </dataValidation>
    <dataValidation allowBlank="true" errorStyle="stop" operator="between" showDropDown="false" showErrorMessage="false" showInputMessage="false" sqref="K23" type="list">
      <formula1>"YES,NO"</formula1>
      <formula2>0</formula2>
    </dataValidation>
    <dataValidation allowBlank="true" errorStyle="stop" operator="between" showDropDown="false" showErrorMessage="false" showInputMessage="false" sqref="L23" type="list">
      <formula1>"YES,NO"</formula1>
      <formula2>0</formula2>
    </dataValidation>
    <dataValidation allowBlank="true" errorStyle="stop" operator="between" showDropDown="false" showErrorMessage="false" showInputMessage="false" sqref="M23" type="list">
      <formula1>"YES,NO"</formula1>
      <formula2>0</formula2>
    </dataValidation>
    <dataValidation allowBlank="true" errorStyle="stop" operator="between" showDropDown="false" showErrorMessage="false" showInputMessage="false" sqref="N23" type="list">
      <formula1>"YES,NO"</formula1>
      <formula2>0</formula2>
    </dataValidation>
    <dataValidation allowBlank="true" errorStyle="stop" operator="between" showDropDown="false" showErrorMessage="false" showInputMessage="false" sqref="O23" type="list">
      <formula1>"YES,NO"</formula1>
      <formula2>0</formula2>
    </dataValidation>
    <dataValidation allowBlank="true" errorStyle="stop" operator="between" showDropDown="false" showErrorMessage="false" showInputMessage="false" sqref="P23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090"/>
    <pageSetUpPr fitToPage="false"/>
  </sheetPr>
  <dimension ref="B1:S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15" min="6" style="0" width="14"/>
    <col collapsed="false" customWidth="true" hidden="false" outlineLevel="0" max="16" min="16" style="0" width="16"/>
    <col collapsed="false" customWidth="true" hidden="false" outlineLevel="0" max="17" min="17" style="0" width="22"/>
    <col collapsed="false" customWidth="true" hidden="false" outlineLevel="0" max="18" min="18" style="0" width="20"/>
  </cols>
  <sheetData>
    <row r="1" customFormat="false" ht="7.5" hidden="false" customHeight="true" outlineLevel="0" collapsed="false"/>
    <row r="2" customFormat="false" ht="42" hidden="false" customHeight="true" outlineLevel="0" collapsed="false">
      <c r="B2" s="35" t="s">
        <v>85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</row>
    <row r="3" customFormat="false" ht="7.5" hidden="false" customHeight="true" outlineLevel="0" collapsed="false"/>
    <row r="4" customFormat="false" ht="36" hidden="false" customHeight="true" outlineLevel="0" collapsed="false">
      <c r="B4" s="36" t="s">
        <v>28</v>
      </c>
      <c r="C4" s="36" t="s">
        <v>29</v>
      </c>
      <c r="D4" s="36" t="s">
        <v>30</v>
      </c>
      <c r="E4" s="36" t="s">
        <v>31</v>
      </c>
      <c r="F4" s="36" t="s">
        <v>32</v>
      </c>
      <c r="G4" s="36" t="s">
        <v>33</v>
      </c>
      <c r="H4" s="36" t="s">
        <v>34</v>
      </c>
      <c r="I4" s="36" t="s">
        <v>13</v>
      </c>
      <c r="J4" s="36" t="s">
        <v>15</v>
      </c>
      <c r="K4" s="36" t="s">
        <v>35</v>
      </c>
      <c r="L4" s="36" t="s">
        <v>36</v>
      </c>
      <c r="M4" s="36" t="s">
        <v>17</v>
      </c>
      <c r="N4" s="36" t="s">
        <v>37</v>
      </c>
      <c r="O4" s="36" t="s">
        <v>19</v>
      </c>
      <c r="P4" s="36" t="s">
        <v>38</v>
      </c>
      <c r="Q4" s="36" t="s">
        <v>39</v>
      </c>
      <c r="R4" s="36" t="s">
        <v>40</v>
      </c>
      <c r="S4" s="36" t="s">
        <v>41</v>
      </c>
    </row>
    <row r="5" customFormat="false" ht="21.75" hidden="false" customHeight="true" outlineLevel="0" collapsed="false">
      <c r="B5" s="37" t="n">
        <v>1</v>
      </c>
      <c r="C5" s="14" t="s">
        <v>86</v>
      </c>
      <c r="D5" s="15" t="s">
        <v>65</v>
      </c>
      <c r="E5" s="15" t="s">
        <v>52</v>
      </c>
      <c r="F5" s="38" t="s">
        <v>5</v>
      </c>
      <c r="G5" s="15" t="s">
        <v>46</v>
      </c>
      <c r="H5" s="15" t="s">
        <v>45</v>
      </c>
      <c r="I5" s="15" t="s">
        <v>46</v>
      </c>
      <c r="J5" s="15" t="s">
        <v>46</v>
      </c>
      <c r="K5" s="15" t="s">
        <v>46</v>
      </c>
      <c r="L5" s="15" t="s">
        <v>45</v>
      </c>
      <c r="M5" s="15" t="s">
        <v>46</v>
      </c>
      <c r="N5" s="15" t="s">
        <v>45</v>
      </c>
      <c r="O5" s="15" t="s">
        <v>45</v>
      </c>
      <c r="P5" s="15" t="s">
        <v>46</v>
      </c>
      <c r="Q5" s="39" t="n">
        <f aca="false">COUNTIF(G5:P5,"YES")</f>
        <v>4</v>
      </c>
      <c r="R5" s="40"/>
      <c r="S5" s="15"/>
    </row>
    <row r="6" customFormat="false" ht="21.75" hidden="false" customHeight="true" outlineLevel="0" collapsed="false">
      <c r="B6" s="41" t="n">
        <v>2</v>
      </c>
      <c r="C6" s="4" t="s">
        <v>87</v>
      </c>
      <c r="D6" s="5" t="s">
        <v>43</v>
      </c>
      <c r="E6" s="5" t="s">
        <v>88</v>
      </c>
      <c r="F6" s="38" t="s">
        <v>5</v>
      </c>
      <c r="G6" s="5" t="s">
        <v>45</v>
      </c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45</v>
      </c>
      <c r="N6" s="5" t="s">
        <v>45</v>
      </c>
      <c r="O6" s="5" t="s">
        <v>45</v>
      </c>
      <c r="P6" s="5" t="s">
        <v>45</v>
      </c>
      <c r="Q6" s="39" t="n">
        <f aca="false">COUNTIF(G6:P6,"YES")</f>
        <v>6</v>
      </c>
      <c r="R6" s="42"/>
      <c r="S6" s="5"/>
    </row>
    <row r="7" customFormat="false" ht="21.75" hidden="false" customHeight="true" outlineLevel="0" collapsed="false">
      <c r="B7" s="37" t="n">
        <v>3</v>
      </c>
      <c r="C7" s="14" t="s">
        <v>89</v>
      </c>
      <c r="D7" s="15" t="s">
        <v>51</v>
      </c>
      <c r="E7" s="15" t="s">
        <v>90</v>
      </c>
      <c r="F7" s="38" t="s">
        <v>6</v>
      </c>
      <c r="G7" s="15" t="s">
        <v>46</v>
      </c>
      <c r="H7" s="15" t="s">
        <v>45</v>
      </c>
      <c r="I7" s="15" t="s">
        <v>46</v>
      </c>
      <c r="J7" s="15" t="s">
        <v>45</v>
      </c>
      <c r="K7" s="15" t="s">
        <v>45</v>
      </c>
      <c r="L7" s="15" t="s">
        <v>46</v>
      </c>
      <c r="M7" s="15" t="s">
        <v>45</v>
      </c>
      <c r="N7" s="15" t="s">
        <v>46</v>
      </c>
      <c r="O7" s="15" t="s">
        <v>45</v>
      </c>
      <c r="P7" s="15" t="s">
        <v>45</v>
      </c>
      <c r="Q7" s="39" t="n">
        <f aca="false">COUNTIF(G7:P7,"YES")</f>
        <v>6</v>
      </c>
      <c r="R7" s="40"/>
      <c r="S7" s="15"/>
    </row>
    <row r="8" customFormat="false" ht="21.75" hidden="false" customHeight="true" outlineLevel="0" collapsed="false">
      <c r="B8" s="41" t="n">
        <v>4</v>
      </c>
      <c r="C8" s="4" t="s">
        <v>91</v>
      </c>
      <c r="D8" s="5" t="s">
        <v>51</v>
      </c>
      <c r="E8" s="5" t="s">
        <v>92</v>
      </c>
      <c r="F8" s="38" t="s">
        <v>5</v>
      </c>
      <c r="G8" s="5" t="s">
        <v>45</v>
      </c>
      <c r="H8" s="5" t="s">
        <v>45</v>
      </c>
      <c r="I8" s="5" t="s">
        <v>45</v>
      </c>
      <c r="J8" s="5" t="s">
        <v>46</v>
      </c>
      <c r="K8" s="5" t="s">
        <v>46</v>
      </c>
      <c r="L8" s="5" t="s">
        <v>46</v>
      </c>
      <c r="M8" s="5" t="s">
        <v>45</v>
      </c>
      <c r="N8" s="5" t="s">
        <v>46</v>
      </c>
      <c r="O8" s="5" t="s">
        <v>46</v>
      </c>
      <c r="P8" s="5" t="s">
        <v>46</v>
      </c>
      <c r="Q8" s="39" t="n">
        <f aca="false">COUNTIF(G8:P8,"YES")</f>
        <v>4</v>
      </c>
      <c r="R8" s="42"/>
      <c r="S8" s="5"/>
    </row>
    <row r="9" customFormat="false" ht="21.75" hidden="false" customHeight="true" outlineLevel="0" collapsed="false">
      <c r="B9" s="37" t="n">
        <v>5</v>
      </c>
      <c r="C9" s="14" t="s">
        <v>93</v>
      </c>
      <c r="D9" s="15" t="s">
        <v>51</v>
      </c>
      <c r="E9" s="15" t="s">
        <v>94</v>
      </c>
      <c r="F9" s="38" t="s">
        <v>4</v>
      </c>
      <c r="G9" s="15" t="s">
        <v>45</v>
      </c>
      <c r="H9" s="15" t="s">
        <v>46</v>
      </c>
      <c r="I9" s="15" t="s">
        <v>45</v>
      </c>
      <c r="J9" s="15" t="s">
        <v>46</v>
      </c>
      <c r="K9" s="15" t="s">
        <v>46</v>
      </c>
      <c r="L9" s="15" t="s">
        <v>45</v>
      </c>
      <c r="M9" s="15" t="s">
        <v>45</v>
      </c>
      <c r="N9" s="15" t="s">
        <v>46</v>
      </c>
      <c r="O9" s="15" t="s">
        <v>46</v>
      </c>
      <c r="P9" s="15" t="s">
        <v>46</v>
      </c>
      <c r="Q9" s="39" t="n">
        <f aca="false">COUNTIF(G9:P9,"YES")</f>
        <v>4</v>
      </c>
      <c r="R9" s="40"/>
      <c r="S9" s="15"/>
    </row>
    <row r="10" customFormat="false" ht="21.75" hidden="false" customHeight="true" outlineLevel="0" collapsed="false">
      <c r="B10" s="41" t="n">
        <v>6</v>
      </c>
      <c r="C10" s="4" t="s">
        <v>95</v>
      </c>
      <c r="D10" s="5" t="s">
        <v>74</v>
      </c>
      <c r="E10" s="5" t="s">
        <v>96</v>
      </c>
      <c r="F10" s="38" t="s">
        <v>4</v>
      </c>
      <c r="G10" s="5" t="s">
        <v>46</v>
      </c>
      <c r="H10" s="5" t="s">
        <v>46</v>
      </c>
      <c r="I10" s="5" t="s">
        <v>45</v>
      </c>
      <c r="J10" s="5" t="s">
        <v>46</v>
      </c>
      <c r="K10" s="5" t="s">
        <v>45</v>
      </c>
      <c r="L10" s="5" t="s">
        <v>46</v>
      </c>
      <c r="M10" s="5" t="s">
        <v>45</v>
      </c>
      <c r="N10" s="5" t="s">
        <v>46</v>
      </c>
      <c r="O10" s="5" t="s">
        <v>46</v>
      </c>
      <c r="P10" s="5" t="s">
        <v>45</v>
      </c>
      <c r="Q10" s="39" t="n">
        <f aca="false">COUNTIF(G10:P10,"YES")</f>
        <v>4</v>
      </c>
      <c r="R10" s="42"/>
      <c r="S10" s="5"/>
    </row>
    <row r="11" customFormat="false" ht="21.75" hidden="false" customHeight="true" outlineLevel="0" collapsed="false">
      <c r="B11" s="37" t="n">
        <v>7</v>
      </c>
      <c r="C11" s="14" t="s">
        <v>97</v>
      </c>
      <c r="D11" s="15" t="s">
        <v>43</v>
      </c>
      <c r="E11" s="15" t="s">
        <v>98</v>
      </c>
      <c r="F11" s="38" t="s">
        <v>6</v>
      </c>
      <c r="G11" s="15" t="s">
        <v>46</v>
      </c>
      <c r="H11" s="15" t="s">
        <v>46</v>
      </c>
      <c r="I11" s="15" t="s">
        <v>45</v>
      </c>
      <c r="J11" s="15" t="s">
        <v>46</v>
      </c>
      <c r="K11" s="15" t="s">
        <v>46</v>
      </c>
      <c r="L11" s="15" t="s">
        <v>46</v>
      </c>
      <c r="M11" s="15" t="s">
        <v>46</v>
      </c>
      <c r="N11" s="15" t="s">
        <v>46</v>
      </c>
      <c r="O11" s="15" t="s">
        <v>46</v>
      </c>
      <c r="P11" s="15" t="s">
        <v>46</v>
      </c>
      <c r="Q11" s="39" t="n">
        <f aca="false">COUNTIF(G11:P11,"YES")</f>
        <v>1</v>
      </c>
      <c r="R11" s="40"/>
      <c r="S11" s="15"/>
    </row>
    <row r="12" customFormat="false" ht="21.75" hidden="false" customHeight="true" outlineLevel="0" collapsed="false">
      <c r="B12" s="41" t="n">
        <v>8</v>
      </c>
      <c r="C12" s="4" t="s">
        <v>99</v>
      </c>
      <c r="D12" s="5" t="s">
        <v>48</v>
      </c>
      <c r="E12" s="5" t="s">
        <v>68</v>
      </c>
      <c r="F12" s="38" t="s">
        <v>7</v>
      </c>
      <c r="G12" s="5" t="s">
        <v>46</v>
      </c>
      <c r="H12" s="5" t="s">
        <v>45</v>
      </c>
      <c r="I12" s="5" t="s">
        <v>46</v>
      </c>
      <c r="J12" s="5" t="s">
        <v>46</v>
      </c>
      <c r="K12" s="5" t="s">
        <v>46</v>
      </c>
      <c r="L12" s="5" t="s">
        <v>46</v>
      </c>
      <c r="M12" s="5" t="s">
        <v>46</v>
      </c>
      <c r="N12" s="5" t="s">
        <v>45</v>
      </c>
      <c r="O12" s="5" t="s">
        <v>46</v>
      </c>
      <c r="P12" s="5" t="s">
        <v>46</v>
      </c>
      <c r="Q12" s="39" t="n">
        <f aca="false">COUNTIF(G12:P12,"YES")</f>
        <v>2</v>
      </c>
      <c r="R12" s="42"/>
      <c r="S12" s="5"/>
    </row>
    <row r="13" customFormat="false" ht="21.75" hidden="false" customHeight="true" outlineLevel="0" collapsed="false">
      <c r="B13" s="37" t="n">
        <v>9</v>
      </c>
      <c r="C13" s="14" t="s">
        <v>100</v>
      </c>
      <c r="D13" s="15" t="s">
        <v>54</v>
      </c>
      <c r="E13" s="15" t="s">
        <v>101</v>
      </c>
      <c r="F13" s="38" t="s">
        <v>6</v>
      </c>
      <c r="G13" s="15" t="s">
        <v>46</v>
      </c>
      <c r="H13" s="15" t="s">
        <v>46</v>
      </c>
      <c r="I13" s="15" t="s">
        <v>46</v>
      </c>
      <c r="J13" s="15" t="s">
        <v>45</v>
      </c>
      <c r="K13" s="15" t="s">
        <v>46</v>
      </c>
      <c r="L13" s="15" t="s">
        <v>46</v>
      </c>
      <c r="M13" s="15" t="s">
        <v>45</v>
      </c>
      <c r="N13" s="15" t="s">
        <v>45</v>
      </c>
      <c r="O13" s="15" t="s">
        <v>46</v>
      </c>
      <c r="P13" s="15" t="s">
        <v>46</v>
      </c>
      <c r="Q13" s="39" t="n">
        <f aca="false">COUNTIF(G13:P13,"YES")</f>
        <v>3</v>
      </c>
      <c r="R13" s="40"/>
      <c r="S13" s="15"/>
    </row>
    <row r="14" customFormat="false" ht="21.75" hidden="false" customHeight="true" outlineLevel="0" collapsed="false">
      <c r="B14" s="41" t="n">
        <v>10</v>
      </c>
      <c r="C14" s="4" t="s">
        <v>102</v>
      </c>
      <c r="D14" s="5" t="s">
        <v>74</v>
      </c>
      <c r="E14" s="5" t="s">
        <v>94</v>
      </c>
      <c r="F14" s="38" t="s">
        <v>4</v>
      </c>
      <c r="G14" s="5" t="s">
        <v>45</v>
      </c>
      <c r="H14" s="5" t="s">
        <v>46</v>
      </c>
      <c r="I14" s="5" t="s">
        <v>45</v>
      </c>
      <c r="J14" s="5" t="s">
        <v>45</v>
      </c>
      <c r="K14" s="5" t="s">
        <v>45</v>
      </c>
      <c r="L14" s="5" t="s">
        <v>45</v>
      </c>
      <c r="M14" s="5" t="s">
        <v>45</v>
      </c>
      <c r="N14" s="5" t="s">
        <v>45</v>
      </c>
      <c r="O14" s="5" t="s">
        <v>46</v>
      </c>
      <c r="P14" s="5" t="s">
        <v>46</v>
      </c>
      <c r="Q14" s="39" t="n">
        <f aca="false">COUNTIF(G14:P14,"YES")</f>
        <v>7</v>
      </c>
      <c r="R14" s="42"/>
      <c r="S14" s="5"/>
    </row>
    <row r="15" customFormat="false" ht="21.75" hidden="false" customHeight="true" outlineLevel="0" collapsed="false">
      <c r="B15" s="37" t="n">
        <v>11</v>
      </c>
      <c r="C15" s="14" t="s">
        <v>103</v>
      </c>
      <c r="D15" s="15" t="s">
        <v>65</v>
      </c>
      <c r="E15" s="15" t="s">
        <v>104</v>
      </c>
      <c r="F15" s="38" t="s">
        <v>5</v>
      </c>
      <c r="G15" s="15" t="s">
        <v>46</v>
      </c>
      <c r="H15" s="15" t="s">
        <v>46</v>
      </c>
      <c r="I15" s="15" t="s">
        <v>46</v>
      </c>
      <c r="J15" s="15" t="s">
        <v>45</v>
      </c>
      <c r="K15" s="15" t="s">
        <v>45</v>
      </c>
      <c r="L15" s="15" t="s">
        <v>45</v>
      </c>
      <c r="M15" s="15" t="s">
        <v>45</v>
      </c>
      <c r="N15" s="15" t="s">
        <v>46</v>
      </c>
      <c r="O15" s="15" t="s">
        <v>45</v>
      </c>
      <c r="P15" s="15" t="s">
        <v>45</v>
      </c>
      <c r="Q15" s="39" t="n">
        <f aca="false">COUNTIF(G15:P15,"YES")</f>
        <v>6</v>
      </c>
      <c r="R15" s="40"/>
      <c r="S15" s="15"/>
    </row>
    <row r="16" customFormat="false" ht="21.75" hidden="false" customHeight="true" outlineLevel="0" collapsed="false">
      <c r="B16" s="41" t="n">
        <v>12</v>
      </c>
      <c r="C16" s="4" t="s">
        <v>105</v>
      </c>
      <c r="D16" s="5" t="s">
        <v>74</v>
      </c>
      <c r="E16" s="5" t="s">
        <v>106</v>
      </c>
      <c r="F16" s="38" t="s">
        <v>4</v>
      </c>
      <c r="G16" s="5" t="s">
        <v>46</v>
      </c>
      <c r="H16" s="5" t="s">
        <v>45</v>
      </c>
      <c r="I16" s="5" t="s">
        <v>45</v>
      </c>
      <c r="J16" s="5" t="s">
        <v>46</v>
      </c>
      <c r="K16" s="5" t="s">
        <v>45</v>
      </c>
      <c r="L16" s="5" t="s">
        <v>46</v>
      </c>
      <c r="M16" s="5" t="s">
        <v>46</v>
      </c>
      <c r="N16" s="5" t="s">
        <v>46</v>
      </c>
      <c r="O16" s="5" t="s">
        <v>46</v>
      </c>
      <c r="P16" s="5" t="s">
        <v>46</v>
      </c>
      <c r="Q16" s="39" t="n">
        <f aca="false">COUNTIF(G16:P16,"YES")</f>
        <v>3</v>
      </c>
      <c r="R16" s="42"/>
      <c r="S16" s="5"/>
    </row>
    <row r="17" customFormat="false" ht="21.75" hidden="false" customHeight="true" outlineLevel="0" collapsed="false">
      <c r="B17" s="37" t="n">
        <v>13</v>
      </c>
      <c r="C17" s="14" t="s">
        <v>107</v>
      </c>
      <c r="D17" s="15" t="s">
        <v>51</v>
      </c>
      <c r="E17" s="15" t="s">
        <v>108</v>
      </c>
      <c r="F17" s="38" t="s">
        <v>7</v>
      </c>
      <c r="G17" s="15" t="s">
        <v>46</v>
      </c>
      <c r="H17" s="15" t="s">
        <v>46</v>
      </c>
      <c r="I17" s="15" t="s">
        <v>45</v>
      </c>
      <c r="J17" s="15" t="s">
        <v>46</v>
      </c>
      <c r="K17" s="15" t="s">
        <v>46</v>
      </c>
      <c r="L17" s="15" t="s">
        <v>46</v>
      </c>
      <c r="M17" s="15" t="s">
        <v>45</v>
      </c>
      <c r="N17" s="15" t="s">
        <v>46</v>
      </c>
      <c r="O17" s="15" t="s">
        <v>46</v>
      </c>
      <c r="P17" s="15" t="s">
        <v>46</v>
      </c>
      <c r="Q17" s="39" t="n">
        <f aca="false">COUNTIF(G17:P17,"YES")</f>
        <v>2</v>
      </c>
      <c r="R17" s="40"/>
      <c r="S17" s="15"/>
    </row>
    <row r="18" customFormat="false" ht="21.75" hidden="false" customHeight="true" outlineLevel="0" collapsed="false">
      <c r="B18" s="41" t="n">
        <v>14</v>
      </c>
      <c r="C18" s="4" t="s">
        <v>109</v>
      </c>
      <c r="D18" s="5" t="s">
        <v>74</v>
      </c>
      <c r="E18" s="5" t="s">
        <v>63</v>
      </c>
      <c r="F18" s="38" t="s">
        <v>7</v>
      </c>
      <c r="G18" s="5" t="s">
        <v>45</v>
      </c>
      <c r="H18" s="5" t="s">
        <v>46</v>
      </c>
      <c r="I18" s="5" t="s">
        <v>45</v>
      </c>
      <c r="J18" s="5" t="s">
        <v>46</v>
      </c>
      <c r="K18" s="5" t="s">
        <v>46</v>
      </c>
      <c r="L18" s="5" t="s">
        <v>46</v>
      </c>
      <c r="M18" s="5" t="s">
        <v>46</v>
      </c>
      <c r="N18" s="5" t="s">
        <v>45</v>
      </c>
      <c r="O18" s="5" t="s">
        <v>45</v>
      </c>
      <c r="P18" s="5" t="s">
        <v>45</v>
      </c>
      <c r="Q18" s="39" t="n">
        <f aca="false">COUNTIF(G18:P18,"YES")</f>
        <v>5</v>
      </c>
      <c r="R18" s="42"/>
      <c r="S18" s="5"/>
    </row>
    <row r="19" customFormat="false" ht="21.75" hidden="false" customHeight="true" outlineLevel="0" collapsed="false">
      <c r="B19" s="37" t="n">
        <v>15</v>
      </c>
      <c r="C19" s="14" t="s">
        <v>110</v>
      </c>
      <c r="D19" s="15" t="s">
        <v>54</v>
      </c>
      <c r="E19" s="15" t="s">
        <v>111</v>
      </c>
      <c r="F19" s="38" t="s">
        <v>5</v>
      </c>
      <c r="G19" s="15" t="s">
        <v>45</v>
      </c>
      <c r="H19" s="15" t="s">
        <v>45</v>
      </c>
      <c r="I19" s="15" t="s">
        <v>46</v>
      </c>
      <c r="J19" s="15" t="s">
        <v>46</v>
      </c>
      <c r="K19" s="15" t="s">
        <v>46</v>
      </c>
      <c r="L19" s="15" t="s">
        <v>46</v>
      </c>
      <c r="M19" s="15" t="s">
        <v>46</v>
      </c>
      <c r="N19" s="15" t="s">
        <v>46</v>
      </c>
      <c r="O19" s="15" t="s">
        <v>45</v>
      </c>
      <c r="P19" s="15" t="s">
        <v>45</v>
      </c>
      <c r="Q19" s="39" t="n">
        <f aca="false">COUNTIF(G19:P19,"YES")</f>
        <v>4</v>
      </c>
      <c r="R19" s="40"/>
      <c r="S19" s="15"/>
    </row>
    <row r="20" customFormat="false" ht="21.75" hidden="false" customHeight="true" outlineLevel="0" collapsed="false">
      <c r="B20" s="41" t="n">
        <v>16</v>
      </c>
      <c r="C20" s="4" t="s">
        <v>112</v>
      </c>
      <c r="D20" s="5" t="s">
        <v>51</v>
      </c>
      <c r="E20" s="5" t="s">
        <v>101</v>
      </c>
      <c r="F20" s="38" t="s">
        <v>4</v>
      </c>
      <c r="G20" s="5" t="s">
        <v>46</v>
      </c>
      <c r="H20" s="5" t="s">
        <v>46</v>
      </c>
      <c r="I20" s="5" t="s">
        <v>46</v>
      </c>
      <c r="J20" s="5" t="s">
        <v>45</v>
      </c>
      <c r="K20" s="5" t="s">
        <v>46</v>
      </c>
      <c r="L20" s="5" t="s">
        <v>46</v>
      </c>
      <c r="M20" s="5" t="s">
        <v>46</v>
      </c>
      <c r="N20" s="5" t="s">
        <v>46</v>
      </c>
      <c r="O20" s="5" t="s">
        <v>46</v>
      </c>
      <c r="P20" s="5" t="s">
        <v>46</v>
      </c>
      <c r="Q20" s="39" t="n">
        <f aca="false">COUNTIF(G20:P20,"YES")</f>
        <v>1</v>
      </c>
      <c r="R20" s="42"/>
      <c r="S20" s="5"/>
    </row>
    <row r="21" customFormat="false" ht="21.75" hidden="false" customHeight="true" outlineLevel="0" collapsed="false">
      <c r="B21" s="37" t="n">
        <v>17</v>
      </c>
      <c r="C21" s="14" t="s">
        <v>113</v>
      </c>
      <c r="D21" s="15" t="s">
        <v>48</v>
      </c>
      <c r="E21" s="15" t="s">
        <v>81</v>
      </c>
      <c r="F21" s="38" t="s">
        <v>5</v>
      </c>
      <c r="G21" s="15" t="s">
        <v>46</v>
      </c>
      <c r="H21" s="15" t="s">
        <v>46</v>
      </c>
      <c r="I21" s="15" t="s">
        <v>46</v>
      </c>
      <c r="J21" s="15" t="s">
        <v>45</v>
      </c>
      <c r="K21" s="15" t="s">
        <v>46</v>
      </c>
      <c r="L21" s="15" t="s">
        <v>46</v>
      </c>
      <c r="M21" s="15" t="s">
        <v>46</v>
      </c>
      <c r="N21" s="15" t="s">
        <v>45</v>
      </c>
      <c r="O21" s="15" t="s">
        <v>46</v>
      </c>
      <c r="P21" s="15" t="s">
        <v>45</v>
      </c>
      <c r="Q21" s="39" t="n">
        <f aca="false">COUNTIF(G21:P21,"YES")</f>
        <v>3</v>
      </c>
      <c r="R21" s="40"/>
      <c r="S21" s="15"/>
    </row>
    <row r="22" customFormat="false" ht="21.75" hidden="false" customHeight="true" outlineLevel="0" collapsed="false">
      <c r="B22" s="41" t="n">
        <v>18</v>
      </c>
      <c r="C22" s="4" t="s">
        <v>114</v>
      </c>
      <c r="D22" s="5" t="s">
        <v>48</v>
      </c>
      <c r="E22" s="5" t="s">
        <v>70</v>
      </c>
      <c r="F22" s="38" t="s">
        <v>7</v>
      </c>
      <c r="G22" s="5" t="s">
        <v>46</v>
      </c>
      <c r="H22" s="5" t="s">
        <v>46</v>
      </c>
      <c r="I22" s="5" t="s">
        <v>45</v>
      </c>
      <c r="J22" s="5" t="s">
        <v>45</v>
      </c>
      <c r="K22" s="5" t="s">
        <v>46</v>
      </c>
      <c r="L22" s="5" t="s">
        <v>45</v>
      </c>
      <c r="M22" s="5" t="s">
        <v>46</v>
      </c>
      <c r="N22" s="5" t="s">
        <v>45</v>
      </c>
      <c r="O22" s="5" t="s">
        <v>45</v>
      </c>
      <c r="P22" s="5" t="s">
        <v>46</v>
      </c>
      <c r="Q22" s="39" t="n">
        <f aca="false">COUNTIF(G22:P22,"YES")</f>
        <v>5</v>
      </c>
      <c r="R22" s="42"/>
      <c r="S22" s="5"/>
    </row>
    <row r="23" customFormat="false" ht="21.75" hidden="false" customHeight="true" outlineLevel="0" collapsed="false">
      <c r="B23" s="37" t="n">
        <v>19</v>
      </c>
      <c r="C23" s="14" t="s">
        <v>115</v>
      </c>
      <c r="D23" s="15" t="s">
        <v>51</v>
      </c>
      <c r="E23" s="15" t="s">
        <v>116</v>
      </c>
      <c r="F23" s="38" t="s">
        <v>7</v>
      </c>
      <c r="G23" s="15" t="s">
        <v>46</v>
      </c>
      <c r="H23" s="15" t="s">
        <v>46</v>
      </c>
      <c r="I23" s="15" t="s">
        <v>46</v>
      </c>
      <c r="J23" s="15" t="s">
        <v>46</v>
      </c>
      <c r="K23" s="15" t="s">
        <v>46</v>
      </c>
      <c r="L23" s="15" t="s">
        <v>46</v>
      </c>
      <c r="M23" s="15" t="s">
        <v>45</v>
      </c>
      <c r="N23" s="15" t="s">
        <v>46</v>
      </c>
      <c r="O23" s="15" t="s">
        <v>45</v>
      </c>
      <c r="P23" s="15" t="s">
        <v>46</v>
      </c>
      <c r="Q23" s="39" t="n">
        <f aca="false">COUNTIF(G23:P23,"YES")</f>
        <v>2</v>
      </c>
      <c r="R23" s="40"/>
      <c r="S23" s="15"/>
    </row>
  </sheetData>
  <mergeCells count="1">
    <mergeCell ref="B2:R2"/>
  </mergeCells>
  <conditionalFormatting sqref="F5:F23">
    <cfRule type="containsText" priority="2" operator="containsText" aboveAverage="0" equalAverage="0" bottom="0" percent="0" rank="0" text="GREEN" dxfId="0">
      <formula>NOT(ISERROR(SEARCH("GREEN",F5)))</formula>
    </cfRule>
    <cfRule type="containsText" priority="3" operator="containsText" aboveAverage="0" equalAverage="0" bottom="0" percent="0" rank="0" text="YELLOW" dxfId="1">
      <formula>NOT(ISERROR(SEARCH("YELLOW",F5)))</formula>
    </cfRule>
    <cfRule type="containsText" priority="4" operator="containsText" aboveAverage="0" equalAverage="0" bottom="0" percent="0" rank="0" text="RED" dxfId="2">
      <formula>NOT(ISERROR(SEARCH("RED",F5)))</formula>
    </cfRule>
    <cfRule type="containsText" priority="5" operator="containsText" aboveAverage="0" equalAverage="0" bottom="0" percent="0" rank="0" text="BLACK" dxfId="3">
      <formula>NOT(ISERROR(SEARCH("BLACK",F5)))</formula>
    </cfRule>
  </conditionalFormatting>
  <conditionalFormatting sqref="Q5:Q23">
    <cfRule type="cellIs" priority="6" operator="between" aboveAverage="0" equalAverage="0" bottom="0" percent="0" rank="0" text="" dxfId="0">
      <formula>0</formula>
      <formula>2</formula>
    </cfRule>
    <cfRule type="cellIs" priority="7" operator="between" aboveAverage="0" equalAverage="0" bottom="0" percent="0" rank="0" text="" dxfId="1">
      <formula>3</formula>
      <formula>5</formula>
    </cfRule>
    <cfRule type="cellIs" priority="8" operator="between" aboveAverage="0" equalAverage="0" bottom="0" percent="0" rank="0" text="" dxfId="2">
      <formula>6</formula>
      <formula>8</formula>
    </cfRule>
    <cfRule type="cellIs" priority="9" operator="between" aboveAverage="0" equalAverage="0" bottom="0" percent="0" rank="0" text="" dxfId="3">
      <formula>9</formula>
      <formula>99</formula>
    </cfRule>
  </conditionalFormatting>
  <dataValidations count="191">
    <dataValidation allowBlank="true" error="Please select a valid status." errorStyle="stop" errorTitle="Invalid Entry" operator="between" showDropDown="false" showErrorMessage="true" showInputMessage="false" sqref="F5:F23" type="list">
      <formula1>"🟢 GREEN,🟡 YELLOW,🔴 RED,⚫ BLACK"</formula1>
      <formula2>0</formula2>
    </dataValidation>
    <dataValidation allowBlank="true" errorStyle="stop" operator="between" showDropDown="false" showErrorMessage="false" showInputMessage="false" sqref="G5" type="list">
      <formula1>"YES,NO"</formula1>
      <formula2>0</formula2>
    </dataValidation>
    <dataValidation allowBlank="true" errorStyle="stop" operator="between" showDropDown="false" showErrorMessage="false" showInputMessage="false" sqref="H5" type="list">
      <formula1>"YES,NO"</formula1>
      <formula2>0</formula2>
    </dataValidation>
    <dataValidation allowBlank="true" errorStyle="stop" operator="between" showDropDown="false" showErrorMessage="false" showInputMessage="false" sqref="I5" type="list">
      <formula1>"YES,NO"</formula1>
      <formula2>0</formula2>
    </dataValidation>
    <dataValidation allowBlank="true" errorStyle="stop" operator="between" showDropDown="false" showErrorMessage="false" showInputMessage="false" sqref="J5" type="list">
      <formula1>"YES,NO"</formula1>
      <formula2>0</formula2>
    </dataValidation>
    <dataValidation allowBlank="true" errorStyle="stop" operator="between" showDropDown="false" showErrorMessage="false" showInputMessage="false" sqref="K5" type="list">
      <formula1>"YES,NO"</formula1>
      <formula2>0</formula2>
    </dataValidation>
    <dataValidation allowBlank="true" errorStyle="stop" operator="between" showDropDown="false" showErrorMessage="false" showInputMessage="false" sqref="L5" type="list">
      <formula1>"YES,NO"</formula1>
      <formula2>0</formula2>
    </dataValidation>
    <dataValidation allowBlank="true" errorStyle="stop" operator="between" showDropDown="false" showErrorMessage="false" showInputMessage="false" sqref="M5" type="list">
      <formula1>"YES,NO"</formula1>
      <formula2>0</formula2>
    </dataValidation>
    <dataValidation allowBlank="true" errorStyle="stop" operator="between" showDropDown="false" showErrorMessage="false" showInputMessage="false" sqref="N5" type="list">
      <formula1>"YES,NO"</formula1>
      <formula2>0</formula2>
    </dataValidation>
    <dataValidation allowBlank="true" errorStyle="stop" operator="between" showDropDown="false" showErrorMessage="false" showInputMessage="false" sqref="O5" type="list">
      <formula1>"YES,NO"</formula1>
      <formula2>0</formula2>
    </dataValidation>
    <dataValidation allowBlank="true" errorStyle="stop" operator="between" showDropDown="false" showErrorMessage="false" showInputMessage="false" sqref="P5" type="list">
      <formula1>"YES,NO"</formula1>
      <formula2>0</formula2>
    </dataValidation>
    <dataValidation allowBlank="true" errorStyle="stop" operator="between" showDropDown="false" showErrorMessage="false" showInputMessage="false" sqref="G6" type="list">
      <formula1>"YES,NO"</formula1>
      <formula2>0</formula2>
    </dataValidation>
    <dataValidation allowBlank="true" errorStyle="stop" operator="between" showDropDown="false" showErrorMessage="false" showInputMessage="false" sqref="H6" type="list">
      <formula1>"YES,NO"</formula1>
      <formula2>0</formula2>
    </dataValidation>
    <dataValidation allowBlank="true" errorStyle="stop" operator="between" showDropDown="false" showErrorMessage="false" showInputMessage="false" sqref="I6" type="list">
      <formula1>"YES,NO"</formula1>
      <formula2>0</formula2>
    </dataValidation>
    <dataValidation allowBlank="true" errorStyle="stop" operator="between" showDropDown="false" showErrorMessage="false" showInputMessage="false" sqref="J6" type="list">
      <formula1>"YES,NO"</formula1>
      <formula2>0</formula2>
    </dataValidation>
    <dataValidation allowBlank="true" errorStyle="stop" operator="between" showDropDown="false" showErrorMessage="false" showInputMessage="false" sqref="K6" type="list">
      <formula1>"YES,NO"</formula1>
      <formula2>0</formula2>
    </dataValidation>
    <dataValidation allowBlank="true" errorStyle="stop" operator="between" showDropDown="false" showErrorMessage="false" showInputMessage="false" sqref="L6" type="list">
      <formula1>"YES,NO"</formula1>
      <formula2>0</formula2>
    </dataValidation>
    <dataValidation allowBlank="true" errorStyle="stop" operator="between" showDropDown="false" showErrorMessage="false" showInputMessage="false" sqref="M6" type="list">
      <formula1>"YES,NO"</formula1>
      <formula2>0</formula2>
    </dataValidation>
    <dataValidation allowBlank="true" errorStyle="stop" operator="between" showDropDown="false" showErrorMessage="false" showInputMessage="false" sqref="N6" type="list">
      <formula1>"YES,NO"</formula1>
      <formula2>0</formula2>
    </dataValidation>
    <dataValidation allowBlank="true" errorStyle="stop" operator="between" showDropDown="false" showErrorMessage="false" showInputMessage="false" sqref="O6" type="list">
      <formula1>"YES,NO"</formula1>
      <formula2>0</formula2>
    </dataValidation>
    <dataValidation allowBlank="true" errorStyle="stop" operator="between" showDropDown="false" showErrorMessage="false" showInputMessage="false" sqref="P6" type="list">
      <formula1>"YES,NO"</formula1>
      <formula2>0</formula2>
    </dataValidation>
    <dataValidation allowBlank="true" errorStyle="stop" operator="between" showDropDown="false" showErrorMessage="false" showInputMessage="false" sqref="G7" type="list">
      <formula1>"YES,NO"</formula1>
      <formula2>0</formula2>
    </dataValidation>
    <dataValidation allowBlank="true" errorStyle="stop" operator="between" showDropDown="false" showErrorMessage="false" showInputMessage="false" sqref="H7" type="list">
      <formula1>"YES,NO"</formula1>
      <formula2>0</formula2>
    </dataValidation>
    <dataValidation allowBlank="true" errorStyle="stop" operator="between" showDropDown="false" showErrorMessage="false" showInputMessage="false" sqref="I7" type="list">
      <formula1>"YES,NO"</formula1>
      <formula2>0</formula2>
    </dataValidation>
    <dataValidation allowBlank="true" errorStyle="stop" operator="between" showDropDown="false" showErrorMessage="false" showInputMessage="false" sqref="J7" type="list">
      <formula1>"YES,NO"</formula1>
      <formula2>0</formula2>
    </dataValidation>
    <dataValidation allowBlank="true" errorStyle="stop" operator="between" showDropDown="false" showErrorMessage="false" showInputMessage="false" sqref="K7" type="list">
      <formula1>"YES,NO"</formula1>
      <formula2>0</formula2>
    </dataValidation>
    <dataValidation allowBlank="true" errorStyle="stop" operator="between" showDropDown="false" showErrorMessage="false" showInputMessage="false" sqref="L7" type="list">
      <formula1>"YES,NO"</formula1>
      <formula2>0</formula2>
    </dataValidation>
    <dataValidation allowBlank="true" errorStyle="stop" operator="between" showDropDown="false" showErrorMessage="false" showInputMessage="false" sqref="M7" type="list">
      <formula1>"YES,NO"</formula1>
      <formula2>0</formula2>
    </dataValidation>
    <dataValidation allowBlank="true" errorStyle="stop" operator="between" showDropDown="false" showErrorMessage="false" showInputMessage="false" sqref="N7" type="list">
      <formula1>"YES,NO"</formula1>
      <formula2>0</formula2>
    </dataValidation>
    <dataValidation allowBlank="true" errorStyle="stop" operator="between" showDropDown="false" showErrorMessage="false" showInputMessage="false" sqref="O7" type="list">
      <formula1>"YES,NO"</formula1>
      <formula2>0</formula2>
    </dataValidation>
    <dataValidation allowBlank="true" errorStyle="stop" operator="between" showDropDown="false" showErrorMessage="false" showInputMessage="false" sqref="P7" type="list">
      <formula1>"YES,NO"</formula1>
      <formula2>0</formula2>
    </dataValidation>
    <dataValidation allowBlank="true" errorStyle="stop" operator="between" showDropDown="false" showErrorMessage="false" showInputMessage="false" sqref="G8" type="list">
      <formula1>"YES,NO"</formula1>
      <formula2>0</formula2>
    </dataValidation>
    <dataValidation allowBlank="true" errorStyle="stop" operator="between" showDropDown="false" showErrorMessage="false" showInputMessage="false" sqref="H8" type="list">
      <formula1>"YES,NO"</formula1>
      <formula2>0</formula2>
    </dataValidation>
    <dataValidation allowBlank="true" errorStyle="stop" operator="between" showDropDown="false" showErrorMessage="false" showInputMessage="false" sqref="I8" type="list">
      <formula1>"YES,NO"</formula1>
      <formula2>0</formula2>
    </dataValidation>
    <dataValidation allowBlank="true" errorStyle="stop" operator="between" showDropDown="false" showErrorMessage="false" showInputMessage="false" sqref="J8" type="list">
      <formula1>"YES,NO"</formula1>
      <formula2>0</formula2>
    </dataValidation>
    <dataValidation allowBlank="true" errorStyle="stop" operator="between" showDropDown="false" showErrorMessage="false" showInputMessage="false" sqref="K8" type="list">
      <formula1>"YES,NO"</formula1>
      <formula2>0</formula2>
    </dataValidation>
    <dataValidation allowBlank="true" errorStyle="stop" operator="between" showDropDown="false" showErrorMessage="false" showInputMessage="false" sqref="L8" type="list">
      <formula1>"YES,NO"</formula1>
      <formula2>0</formula2>
    </dataValidation>
    <dataValidation allowBlank="true" errorStyle="stop" operator="between" showDropDown="false" showErrorMessage="false" showInputMessage="false" sqref="M8" type="list">
      <formula1>"YES,NO"</formula1>
      <formula2>0</formula2>
    </dataValidation>
    <dataValidation allowBlank="true" errorStyle="stop" operator="between" showDropDown="false" showErrorMessage="false" showInputMessage="false" sqref="N8" type="list">
      <formula1>"YES,NO"</formula1>
      <formula2>0</formula2>
    </dataValidation>
    <dataValidation allowBlank="true" errorStyle="stop" operator="between" showDropDown="false" showErrorMessage="false" showInputMessage="false" sqref="O8" type="list">
      <formula1>"YES,NO"</formula1>
      <formula2>0</formula2>
    </dataValidation>
    <dataValidation allowBlank="true" errorStyle="stop" operator="between" showDropDown="false" showErrorMessage="false" showInputMessage="false" sqref="P8" type="list">
      <formula1>"YES,NO"</formula1>
      <formula2>0</formula2>
    </dataValidation>
    <dataValidation allowBlank="true" errorStyle="stop" operator="between" showDropDown="false" showErrorMessage="false" showInputMessage="false" sqref="G9" type="list">
      <formula1>"YES,NO"</formula1>
      <formula2>0</formula2>
    </dataValidation>
    <dataValidation allowBlank="true" errorStyle="stop" operator="between" showDropDown="false" showErrorMessage="false" showInputMessage="false" sqref="H9" type="list">
      <formula1>"YES,NO"</formula1>
      <formula2>0</formula2>
    </dataValidation>
    <dataValidation allowBlank="true" errorStyle="stop" operator="between" showDropDown="false" showErrorMessage="false" showInputMessage="false" sqref="I9" type="list">
      <formula1>"YES,NO"</formula1>
      <formula2>0</formula2>
    </dataValidation>
    <dataValidation allowBlank="true" errorStyle="stop" operator="between" showDropDown="false" showErrorMessage="false" showInputMessage="false" sqref="J9" type="list">
      <formula1>"YES,NO"</formula1>
      <formula2>0</formula2>
    </dataValidation>
    <dataValidation allowBlank="true" errorStyle="stop" operator="between" showDropDown="false" showErrorMessage="false" showInputMessage="false" sqref="K9" type="list">
      <formula1>"YES,NO"</formula1>
      <formula2>0</formula2>
    </dataValidation>
    <dataValidation allowBlank="true" errorStyle="stop" operator="between" showDropDown="false" showErrorMessage="false" showInputMessage="false" sqref="L9" type="list">
      <formula1>"YES,NO"</formula1>
      <formula2>0</formula2>
    </dataValidation>
    <dataValidation allowBlank="true" errorStyle="stop" operator="between" showDropDown="false" showErrorMessage="false" showInputMessage="false" sqref="M9" type="list">
      <formula1>"YES,NO"</formula1>
      <formula2>0</formula2>
    </dataValidation>
    <dataValidation allowBlank="true" errorStyle="stop" operator="between" showDropDown="false" showErrorMessage="false" showInputMessage="false" sqref="N9" type="list">
      <formula1>"YES,NO"</formula1>
      <formula2>0</formula2>
    </dataValidation>
    <dataValidation allowBlank="true" errorStyle="stop" operator="between" showDropDown="false" showErrorMessage="false" showInputMessage="false" sqref="O9" type="list">
      <formula1>"YES,NO"</formula1>
      <formula2>0</formula2>
    </dataValidation>
    <dataValidation allowBlank="true" errorStyle="stop" operator="between" showDropDown="false" showErrorMessage="false" showInputMessage="false" sqref="P9" type="list">
      <formula1>"YES,NO"</formula1>
      <formula2>0</formula2>
    </dataValidation>
    <dataValidation allowBlank="true" errorStyle="stop" operator="between" showDropDown="false" showErrorMessage="false" showInputMessage="false" sqref="G10" type="list">
      <formula1>"YES,NO"</formula1>
      <formula2>0</formula2>
    </dataValidation>
    <dataValidation allowBlank="true" errorStyle="stop" operator="between" showDropDown="false" showErrorMessage="false" showInputMessage="false" sqref="H10" type="list">
      <formula1>"YES,NO"</formula1>
      <formula2>0</formula2>
    </dataValidation>
    <dataValidation allowBlank="true" errorStyle="stop" operator="between" showDropDown="false" showErrorMessage="false" showInputMessage="false" sqref="I10" type="list">
      <formula1>"YES,NO"</formula1>
      <formula2>0</formula2>
    </dataValidation>
    <dataValidation allowBlank="true" errorStyle="stop" operator="between" showDropDown="false" showErrorMessage="false" showInputMessage="false" sqref="J10" type="list">
      <formula1>"YES,NO"</formula1>
      <formula2>0</formula2>
    </dataValidation>
    <dataValidation allowBlank="true" errorStyle="stop" operator="between" showDropDown="false" showErrorMessage="false" showInputMessage="false" sqref="K10" type="list">
      <formula1>"YES,NO"</formula1>
      <formula2>0</formula2>
    </dataValidation>
    <dataValidation allowBlank="true" errorStyle="stop" operator="between" showDropDown="false" showErrorMessage="false" showInputMessage="false" sqref="L10" type="list">
      <formula1>"YES,NO"</formula1>
      <formula2>0</formula2>
    </dataValidation>
    <dataValidation allowBlank="true" errorStyle="stop" operator="between" showDropDown="false" showErrorMessage="false" showInputMessage="false" sqref="M10" type="list">
      <formula1>"YES,NO"</formula1>
      <formula2>0</formula2>
    </dataValidation>
    <dataValidation allowBlank="true" errorStyle="stop" operator="between" showDropDown="false" showErrorMessage="false" showInputMessage="false" sqref="N10" type="list">
      <formula1>"YES,NO"</formula1>
      <formula2>0</formula2>
    </dataValidation>
    <dataValidation allowBlank="true" errorStyle="stop" operator="between" showDropDown="false" showErrorMessage="false" showInputMessage="false" sqref="O10" type="list">
      <formula1>"YES,NO"</formula1>
      <formula2>0</formula2>
    </dataValidation>
    <dataValidation allowBlank="true" errorStyle="stop" operator="between" showDropDown="false" showErrorMessage="false" showInputMessage="false" sqref="P10" type="list">
      <formula1>"YES,NO"</formula1>
      <formula2>0</formula2>
    </dataValidation>
    <dataValidation allowBlank="true" errorStyle="stop" operator="between" showDropDown="false" showErrorMessage="false" showInputMessage="false" sqref="G11" type="list">
      <formula1>"YES,NO"</formula1>
      <formula2>0</formula2>
    </dataValidation>
    <dataValidation allowBlank="true" errorStyle="stop" operator="between" showDropDown="false" showErrorMessage="false" showInputMessage="false" sqref="H11" type="list">
      <formula1>"YES,NO"</formula1>
      <formula2>0</formula2>
    </dataValidation>
    <dataValidation allowBlank="true" errorStyle="stop" operator="between" showDropDown="false" showErrorMessage="false" showInputMessage="false" sqref="I11" type="list">
      <formula1>"YES,NO"</formula1>
      <formula2>0</formula2>
    </dataValidation>
    <dataValidation allowBlank="true" errorStyle="stop" operator="between" showDropDown="false" showErrorMessage="false" showInputMessage="false" sqref="J11" type="list">
      <formula1>"YES,NO"</formula1>
      <formula2>0</formula2>
    </dataValidation>
    <dataValidation allowBlank="true" errorStyle="stop" operator="between" showDropDown="false" showErrorMessage="false" showInputMessage="false" sqref="K11" type="list">
      <formula1>"YES,NO"</formula1>
      <formula2>0</formula2>
    </dataValidation>
    <dataValidation allowBlank="true" errorStyle="stop" operator="between" showDropDown="false" showErrorMessage="false" showInputMessage="false" sqref="L11" type="list">
      <formula1>"YES,NO"</formula1>
      <formula2>0</formula2>
    </dataValidation>
    <dataValidation allowBlank="true" errorStyle="stop" operator="between" showDropDown="false" showErrorMessage="false" showInputMessage="false" sqref="M11" type="list">
      <formula1>"YES,NO"</formula1>
      <formula2>0</formula2>
    </dataValidation>
    <dataValidation allowBlank="true" errorStyle="stop" operator="between" showDropDown="false" showErrorMessage="false" showInputMessage="false" sqref="N11" type="list">
      <formula1>"YES,NO"</formula1>
      <formula2>0</formula2>
    </dataValidation>
    <dataValidation allowBlank="true" errorStyle="stop" operator="between" showDropDown="false" showErrorMessage="false" showInputMessage="false" sqref="O11" type="list">
      <formula1>"YES,NO"</formula1>
      <formula2>0</formula2>
    </dataValidation>
    <dataValidation allowBlank="true" errorStyle="stop" operator="between" showDropDown="false" showErrorMessage="false" showInputMessage="false" sqref="P11" type="list">
      <formula1>"YES,NO"</formula1>
      <formula2>0</formula2>
    </dataValidation>
    <dataValidation allowBlank="true" errorStyle="stop" operator="between" showDropDown="false" showErrorMessage="false" showInputMessage="false" sqref="G12" type="list">
      <formula1>"YES,NO"</formula1>
      <formula2>0</formula2>
    </dataValidation>
    <dataValidation allowBlank="true" errorStyle="stop" operator="between" showDropDown="false" showErrorMessage="false" showInputMessage="false" sqref="H12" type="list">
      <formula1>"YES,NO"</formula1>
      <formula2>0</formula2>
    </dataValidation>
    <dataValidation allowBlank="true" errorStyle="stop" operator="between" showDropDown="false" showErrorMessage="false" showInputMessage="false" sqref="I12" type="list">
      <formula1>"YES,NO"</formula1>
      <formula2>0</formula2>
    </dataValidation>
    <dataValidation allowBlank="true" errorStyle="stop" operator="between" showDropDown="false" showErrorMessage="false" showInputMessage="false" sqref="J12" type="list">
      <formula1>"YES,NO"</formula1>
      <formula2>0</formula2>
    </dataValidation>
    <dataValidation allowBlank="true" errorStyle="stop" operator="between" showDropDown="false" showErrorMessage="false" showInputMessage="false" sqref="K12" type="list">
      <formula1>"YES,NO"</formula1>
      <formula2>0</formula2>
    </dataValidation>
    <dataValidation allowBlank="true" errorStyle="stop" operator="between" showDropDown="false" showErrorMessage="false" showInputMessage="false" sqref="L12" type="list">
      <formula1>"YES,NO"</formula1>
      <formula2>0</formula2>
    </dataValidation>
    <dataValidation allowBlank="true" errorStyle="stop" operator="between" showDropDown="false" showErrorMessage="false" showInputMessage="false" sqref="M12" type="list">
      <formula1>"YES,NO"</formula1>
      <formula2>0</formula2>
    </dataValidation>
    <dataValidation allowBlank="true" errorStyle="stop" operator="between" showDropDown="false" showErrorMessage="false" showInputMessage="false" sqref="N12" type="list">
      <formula1>"YES,NO"</formula1>
      <formula2>0</formula2>
    </dataValidation>
    <dataValidation allowBlank="true" errorStyle="stop" operator="between" showDropDown="false" showErrorMessage="false" showInputMessage="false" sqref="O12" type="list">
      <formula1>"YES,NO"</formula1>
      <formula2>0</formula2>
    </dataValidation>
    <dataValidation allowBlank="true" errorStyle="stop" operator="between" showDropDown="false" showErrorMessage="false" showInputMessage="false" sqref="P12" type="list">
      <formula1>"YES,NO"</formula1>
      <formula2>0</formula2>
    </dataValidation>
    <dataValidation allowBlank="true" errorStyle="stop" operator="between" showDropDown="false" showErrorMessage="false" showInputMessage="false" sqref="G13" type="list">
      <formula1>"YES,NO"</formula1>
      <formula2>0</formula2>
    </dataValidation>
    <dataValidation allowBlank="true" errorStyle="stop" operator="between" showDropDown="false" showErrorMessage="false" showInputMessage="false" sqref="H13" type="list">
      <formula1>"YES,NO"</formula1>
      <formula2>0</formula2>
    </dataValidation>
    <dataValidation allowBlank="true" errorStyle="stop" operator="between" showDropDown="false" showErrorMessage="false" showInputMessage="false" sqref="I13" type="list">
      <formula1>"YES,NO"</formula1>
      <formula2>0</formula2>
    </dataValidation>
    <dataValidation allowBlank="true" errorStyle="stop" operator="between" showDropDown="false" showErrorMessage="false" showInputMessage="false" sqref="J13" type="list">
      <formula1>"YES,NO"</formula1>
      <formula2>0</formula2>
    </dataValidation>
    <dataValidation allowBlank="true" errorStyle="stop" operator="between" showDropDown="false" showErrorMessage="false" showInputMessage="false" sqref="K13" type="list">
      <formula1>"YES,NO"</formula1>
      <formula2>0</formula2>
    </dataValidation>
    <dataValidation allowBlank="true" errorStyle="stop" operator="between" showDropDown="false" showErrorMessage="false" showInputMessage="false" sqref="L13" type="list">
      <formula1>"YES,NO"</formula1>
      <formula2>0</formula2>
    </dataValidation>
    <dataValidation allowBlank="true" errorStyle="stop" operator="between" showDropDown="false" showErrorMessage="false" showInputMessage="false" sqref="M13" type="list">
      <formula1>"YES,NO"</formula1>
      <formula2>0</formula2>
    </dataValidation>
    <dataValidation allowBlank="true" errorStyle="stop" operator="between" showDropDown="false" showErrorMessage="false" showInputMessage="false" sqref="N13" type="list">
      <formula1>"YES,NO"</formula1>
      <formula2>0</formula2>
    </dataValidation>
    <dataValidation allowBlank="true" errorStyle="stop" operator="between" showDropDown="false" showErrorMessage="false" showInputMessage="false" sqref="O13" type="list">
      <formula1>"YES,NO"</formula1>
      <formula2>0</formula2>
    </dataValidation>
    <dataValidation allowBlank="true" errorStyle="stop" operator="between" showDropDown="false" showErrorMessage="false" showInputMessage="false" sqref="P13" type="list">
      <formula1>"YES,NO"</formula1>
      <formula2>0</formula2>
    </dataValidation>
    <dataValidation allowBlank="true" errorStyle="stop" operator="between" showDropDown="false" showErrorMessage="false" showInputMessage="false" sqref="G14" type="list">
      <formula1>"YES,NO"</formula1>
      <formula2>0</formula2>
    </dataValidation>
    <dataValidation allowBlank="true" errorStyle="stop" operator="between" showDropDown="false" showErrorMessage="false" showInputMessage="false" sqref="H14" type="list">
      <formula1>"YES,NO"</formula1>
      <formula2>0</formula2>
    </dataValidation>
    <dataValidation allowBlank="true" errorStyle="stop" operator="between" showDropDown="false" showErrorMessage="false" showInputMessage="false" sqref="I14" type="list">
      <formula1>"YES,NO"</formula1>
      <formula2>0</formula2>
    </dataValidation>
    <dataValidation allowBlank="true" errorStyle="stop" operator="between" showDropDown="false" showErrorMessage="false" showInputMessage="false" sqref="J14" type="list">
      <formula1>"YES,NO"</formula1>
      <formula2>0</formula2>
    </dataValidation>
    <dataValidation allowBlank="true" errorStyle="stop" operator="between" showDropDown="false" showErrorMessage="false" showInputMessage="false" sqref="K14" type="list">
      <formula1>"YES,NO"</formula1>
      <formula2>0</formula2>
    </dataValidation>
    <dataValidation allowBlank="true" errorStyle="stop" operator="between" showDropDown="false" showErrorMessage="false" showInputMessage="false" sqref="L14" type="list">
      <formula1>"YES,NO"</formula1>
      <formula2>0</formula2>
    </dataValidation>
    <dataValidation allowBlank="true" errorStyle="stop" operator="between" showDropDown="false" showErrorMessage="false" showInputMessage="false" sqref="M14" type="list">
      <formula1>"YES,NO"</formula1>
      <formula2>0</formula2>
    </dataValidation>
    <dataValidation allowBlank="true" errorStyle="stop" operator="between" showDropDown="false" showErrorMessage="false" showInputMessage="false" sqref="N14" type="list">
      <formula1>"YES,NO"</formula1>
      <formula2>0</formula2>
    </dataValidation>
    <dataValidation allowBlank="true" errorStyle="stop" operator="between" showDropDown="false" showErrorMessage="false" showInputMessage="false" sqref="O14" type="list">
      <formula1>"YES,NO"</formula1>
      <formula2>0</formula2>
    </dataValidation>
    <dataValidation allowBlank="true" errorStyle="stop" operator="between" showDropDown="false" showErrorMessage="false" showInputMessage="false" sqref="P14" type="list">
      <formula1>"YES,NO"</formula1>
      <formula2>0</formula2>
    </dataValidation>
    <dataValidation allowBlank="true" errorStyle="stop" operator="between" showDropDown="false" showErrorMessage="false" showInputMessage="false" sqref="G15" type="list">
      <formula1>"YES,NO"</formula1>
      <formula2>0</formula2>
    </dataValidation>
    <dataValidation allowBlank="true" errorStyle="stop" operator="between" showDropDown="false" showErrorMessage="false" showInputMessage="false" sqref="H15" type="list">
      <formula1>"YES,NO"</formula1>
      <formula2>0</formula2>
    </dataValidation>
    <dataValidation allowBlank="true" errorStyle="stop" operator="between" showDropDown="false" showErrorMessage="false" showInputMessage="false" sqref="I15" type="list">
      <formula1>"YES,NO"</formula1>
      <formula2>0</formula2>
    </dataValidation>
    <dataValidation allowBlank="true" errorStyle="stop" operator="between" showDropDown="false" showErrorMessage="false" showInputMessage="false" sqref="J15" type="list">
      <formula1>"YES,NO"</formula1>
      <formula2>0</formula2>
    </dataValidation>
    <dataValidation allowBlank="true" errorStyle="stop" operator="between" showDropDown="false" showErrorMessage="false" showInputMessage="false" sqref="K15" type="list">
      <formula1>"YES,NO"</formula1>
      <formula2>0</formula2>
    </dataValidation>
    <dataValidation allowBlank="true" errorStyle="stop" operator="between" showDropDown="false" showErrorMessage="false" showInputMessage="false" sqref="L15" type="list">
      <formula1>"YES,NO"</formula1>
      <formula2>0</formula2>
    </dataValidation>
    <dataValidation allowBlank="true" errorStyle="stop" operator="between" showDropDown="false" showErrorMessage="false" showInputMessage="false" sqref="M15" type="list">
      <formula1>"YES,NO"</formula1>
      <formula2>0</formula2>
    </dataValidation>
    <dataValidation allowBlank="true" errorStyle="stop" operator="between" showDropDown="false" showErrorMessage="false" showInputMessage="false" sqref="N15" type="list">
      <formula1>"YES,NO"</formula1>
      <formula2>0</formula2>
    </dataValidation>
    <dataValidation allowBlank="true" errorStyle="stop" operator="between" showDropDown="false" showErrorMessage="false" showInputMessage="false" sqref="O15" type="list">
      <formula1>"YES,NO"</formula1>
      <formula2>0</formula2>
    </dataValidation>
    <dataValidation allowBlank="true" errorStyle="stop" operator="between" showDropDown="false" showErrorMessage="false" showInputMessage="false" sqref="P15" type="list">
      <formula1>"YES,NO"</formula1>
      <formula2>0</formula2>
    </dataValidation>
    <dataValidation allowBlank="true" errorStyle="stop" operator="between" showDropDown="false" showErrorMessage="false" showInputMessage="false" sqref="G16" type="list">
      <formula1>"YES,NO"</formula1>
      <formula2>0</formula2>
    </dataValidation>
    <dataValidation allowBlank="true" errorStyle="stop" operator="between" showDropDown="false" showErrorMessage="false" showInputMessage="false" sqref="H16" type="list">
      <formula1>"YES,NO"</formula1>
      <formula2>0</formula2>
    </dataValidation>
    <dataValidation allowBlank="true" errorStyle="stop" operator="between" showDropDown="false" showErrorMessage="false" showInputMessage="false" sqref="I16" type="list">
      <formula1>"YES,NO"</formula1>
      <formula2>0</formula2>
    </dataValidation>
    <dataValidation allowBlank="true" errorStyle="stop" operator="between" showDropDown="false" showErrorMessage="false" showInputMessage="false" sqref="J16" type="list">
      <formula1>"YES,NO"</formula1>
      <formula2>0</formula2>
    </dataValidation>
    <dataValidation allowBlank="true" errorStyle="stop" operator="between" showDropDown="false" showErrorMessage="false" showInputMessage="false" sqref="K16" type="list">
      <formula1>"YES,NO"</formula1>
      <formula2>0</formula2>
    </dataValidation>
    <dataValidation allowBlank="true" errorStyle="stop" operator="between" showDropDown="false" showErrorMessage="false" showInputMessage="false" sqref="L16" type="list">
      <formula1>"YES,NO"</formula1>
      <formula2>0</formula2>
    </dataValidation>
    <dataValidation allowBlank="true" errorStyle="stop" operator="between" showDropDown="false" showErrorMessage="false" showInputMessage="false" sqref="M16" type="list">
      <formula1>"YES,NO"</formula1>
      <formula2>0</formula2>
    </dataValidation>
    <dataValidation allowBlank="true" errorStyle="stop" operator="between" showDropDown="false" showErrorMessage="false" showInputMessage="false" sqref="N16" type="list">
      <formula1>"YES,NO"</formula1>
      <formula2>0</formula2>
    </dataValidation>
    <dataValidation allowBlank="true" errorStyle="stop" operator="between" showDropDown="false" showErrorMessage="false" showInputMessage="false" sqref="O16" type="list">
      <formula1>"YES,NO"</formula1>
      <formula2>0</formula2>
    </dataValidation>
    <dataValidation allowBlank="true" errorStyle="stop" operator="between" showDropDown="false" showErrorMessage="false" showInputMessage="false" sqref="P16" type="list">
      <formula1>"YES,NO"</formula1>
      <formula2>0</formula2>
    </dataValidation>
    <dataValidation allowBlank="true" errorStyle="stop" operator="between" showDropDown="false" showErrorMessage="false" showInputMessage="false" sqref="G17" type="list">
      <formula1>"YES,NO"</formula1>
      <formula2>0</formula2>
    </dataValidation>
    <dataValidation allowBlank="true" errorStyle="stop" operator="between" showDropDown="false" showErrorMessage="false" showInputMessage="false" sqref="H17" type="list">
      <formula1>"YES,NO"</formula1>
      <formula2>0</formula2>
    </dataValidation>
    <dataValidation allowBlank="true" errorStyle="stop" operator="between" showDropDown="false" showErrorMessage="false" showInputMessage="false" sqref="I17" type="list">
      <formula1>"YES,NO"</formula1>
      <formula2>0</formula2>
    </dataValidation>
    <dataValidation allowBlank="true" errorStyle="stop" operator="between" showDropDown="false" showErrorMessage="false" showInputMessage="false" sqref="J17" type="list">
      <formula1>"YES,NO"</formula1>
      <formula2>0</formula2>
    </dataValidation>
    <dataValidation allowBlank="true" errorStyle="stop" operator="between" showDropDown="false" showErrorMessage="false" showInputMessage="false" sqref="K17" type="list">
      <formula1>"YES,NO"</formula1>
      <formula2>0</formula2>
    </dataValidation>
    <dataValidation allowBlank="true" errorStyle="stop" operator="between" showDropDown="false" showErrorMessage="false" showInputMessage="false" sqref="L17" type="list">
      <formula1>"YES,NO"</formula1>
      <formula2>0</formula2>
    </dataValidation>
    <dataValidation allowBlank="true" errorStyle="stop" operator="between" showDropDown="false" showErrorMessage="false" showInputMessage="false" sqref="M17" type="list">
      <formula1>"YES,NO"</formula1>
      <formula2>0</formula2>
    </dataValidation>
    <dataValidation allowBlank="true" errorStyle="stop" operator="between" showDropDown="false" showErrorMessage="false" showInputMessage="false" sqref="N17" type="list">
      <formula1>"YES,NO"</formula1>
      <formula2>0</formula2>
    </dataValidation>
    <dataValidation allowBlank="true" errorStyle="stop" operator="between" showDropDown="false" showErrorMessage="false" showInputMessage="false" sqref="O17" type="list">
      <formula1>"YES,NO"</formula1>
      <formula2>0</formula2>
    </dataValidation>
    <dataValidation allowBlank="true" errorStyle="stop" operator="between" showDropDown="false" showErrorMessage="false" showInputMessage="false" sqref="P17" type="list">
      <formula1>"YES,NO"</formula1>
      <formula2>0</formula2>
    </dataValidation>
    <dataValidation allowBlank="true" errorStyle="stop" operator="between" showDropDown="false" showErrorMessage="false" showInputMessage="false" sqref="G18" type="list">
      <formula1>"YES,NO"</formula1>
      <formula2>0</formula2>
    </dataValidation>
    <dataValidation allowBlank="true" errorStyle="stop" operator="between" showDropDown="false" showErrorMessage="false" showInputMessage="false" sqref="H18" type="list">
      <formula1>"YES,NO"</formula1>
      <formula2>0</formula2>
    </dataValidation>
    <dataValidation allowBlank="true" errorStyle="stop" operator="between" showDropDown="false" showErrorMessage="false" showInputMessage="false" sqref="I18" type="list">
      <formula1>"YES,NO"</formula1>
      <formula2>0</formula2>
    </dataValidation>
    <dataValidation allowBlank="true" errorStyle="stop" operator="between" showDropDown="false" showErrorMessage="false" showInputMessage="false" sqref="J18" type="list">
      <formula1>"YES,NO"</formula1>
      <formula2>0</formula2>
    </dataValidation>
    <dataValidation allowBlank="true" errorStyle="stop" operator="between" showDropDown="false" showErrorMessage="false" showInputMessage="false" sqref="K18" type="list">
      <formula1>"YES,NO"</formula1>
      <formula2>0</formula2>
    </dataValidation>
    <dataValidation allowBlank="true" errorStyle="stop" operator="between" showDropDown="false" showErrorMessage="false" showInputMessage="false" sqref="L18" type="list">
      <formula1>"YES,NO"</formula1>
      <formula2>0</formula2>
    </dataValidation>
    <dataValidation allowBlank="true" errorStyle="stop" operator="between" showDropDown="false" showErrorMessage="false" showInputMessage="false" sqref="M18" type="list">
      <formula1>"YES,NO"</formula1>
      <formula2>0</formula2>
    </dataValidation>
    <dataValidation allowBlank="true" errorStyle="stop" operator="between" showDropDown="false" showErrorMessage="false" showInputMessage="false" sqref="N18" type="list">
      <formula1>"YES,NO"</formula1>
      <formula2>0</formula2>
    </dataValidation>
    <dataValidation allowBlank="true" errorStyle="stop" operator="between" showDropDown="false" showErrorMessage="false" showInputMessage="false" sqref="O18" type="list">
      <formula1>"YES,NO"</formula1>
      <formula2>0</formula2>
    </dataValidation>
    <dataValidation allowBlank="true" errorStyle="stop" operator="between" showDropDown="false" showErrorMessage="false" showInputMessage="false" sqref="P18" type="list">
      <formula1>"YES,NO"</formula1>
      <formula2>0</formula2>
    </dataValidation>
    <dataValidation allowBlank="true" errorStyle="stop" operator="between" showDropDown="false" showErrorMessage="false" showInputMessage="false" sqref="G19" type="list">
      <formula1>"YES,NO"</formula1>
      <formula2>0</formula2>
    </dataValidation>
    <dataValidation allowBlank="true" errorStyle="stop" operator="between" showDropDown="false" showErrorMessage="false" showInputMessage="false" sqref="H19" type="list">
      <formula1>"YES,NO"</formula1>
      <formula2>0</formula2>
    </dataValidation>
    <dataValidation allowBlank="true" errorStyle="stop" operator="between" showDropDown="false" showErrorMessage="false" showInputMessage="false" sqref="I19" type="list">
      <formula1>"YES,NO"</formula1>
      <formula2>0</formula2>
    </dataValidation>
    <dataValidation allowBlank="true" errorStyle="stop" operator="between" showDropDown="false" showErrorMessage="false" showInputMessage="false" sqref="J19" type="list">
      <formula1>"YES,NO"</formula1>
      <formula2>0</formula2>
    </dataValidation>
    <dataValidation allowBlank="true" errorStyle="stop" operator="between" showDropDown="false" showErrorMessage="false" showInputMessage="false" sqref="K19" type="list">
      <formula1>"YES,NO"</formula1>
      <formula2>0</formula2>
    </dataValidation>
    <dataValidation allowBlank="true" errorStyle="stop" operator="between" showDropDown="false" showErrorMessage="false" showInputMessage="false" sqref="L19" type="list">
      <formula1>"YES,NO"</formula1>
      <formula2>0</formula2>
    </dataValidation>
    <dataValidation allowBlank="true" errorStyle="stop" operator="between" showDropDown="false" showErrorMessage="false" showInputMessage="false" sqref="M19" type="list">
      <formula1>"YES,NO"</formula1>
      <formula2>0</formula2>
    </dataValidation>
    <dataValidation allowBlank="true" errorStyle="stop" operator="between" showDropDown="false" showErrorMessage="false" showInputMessage="false" sqref="N19" type="list">
      <formula1>"YES,NO"</formula1>
      <formula2>0</formula2>
    </dataValidation>
    <dataValidation allowBlank="true" errorStyle="stop" operator="between" showDropDown="false" showErrorMessage="false" showInputMessage="false" sqref="O19" type="list">
      <formula1>"YES,NO"</formula1>
      <formula2>0</formula2>
    </dataValidation>
    <dataValidation allowBlank="true" errorStyle="stop" operator="between" showDropDown="false" showErrorMessage="false" showInputMessage="false" sqref="P19" type="list">
      <formula1>"YES,NO"</formula1>
      <formula2>0</formula2>
    </dataValidation>
    <dataValidation allowBlank="true" errorStyle="stop" operator="between" showDropDown="false" showErrorMessage="false" showInputMessage="false" sqref="G20" type="list">
      <formula1>"YES,NO"</formula1>
      <formula2>0</formula2>
    </dataValidation>
    <dataValidation allowBlank="true" errorStyle="stop" operator="between" showDropDown="false" showErrorMessage="false" showInputMessage="false" sqref="H20" type="list">
      <formula1>"YES,NO"</formula1>
      <formula2>0</formula2>
    </dataValidation>
    <dataValidation allowBlank="true" errorStyle="stop" operator="between" showDropDown="false" showErrorMessage="false" showInputMessage="false" sqref="I20" type="list">
      <formula1>"YES,NO"</formula1>
      <formula2>0</formula2>
    </dataValidation>
    <dataValidation allowBlank="true" errorStyle="stop" operator="between" showDropDown="false" showErrorMessage="false" showInputMessage="false" sqref="J20" type="list">
      <formula1>"YES,NO"</formula1>
      <formula2>0</formula2>
    </dataValidation>
    <dataValidation allowBlank="true" errorStyle="stop" operator="between" showDropDown="false" showErrorMessage="false" showInputMessage="false" sqref="K20" type="list">
      <formula1>"YES,NO"</formula1>
      <formula2>0</formula2>
    </dataValidation>
    <dataValidation allowBlank="true" errorStyle="stop" operator="between" showDropDown="false" showErrorMessage="false" showInputMessage="false" sqref="L20" type="list">
      <formula1>"YES,NO"</formula1>
      <formula2>0</formula2>
    </dataValidation>
    <dataValidation allowBlank="true" errorStyle="stop" operator="between" showDropDown="false" showErrorMessage="false" showInputMessage="false" sqref="M20" type="list">
      <formula1>"YES,NO"</formula1>
      <formula2>0</formula2>
    </dataValidation>
    <dataValidation allowBlank="true" errorStyle="stop" operator="between" showDropDown="false" showErrorMessage="false" showInputMessage="false" sqref="N20" type="list">
      <formula1>"YES,NO"</formula1>
      <formula2>0</formula2>
    </dataValidation>
    <dataValidation allowBlank="true" errorStyle="stop" operator="between" showDropDown="false" showErrorMessage="false" showInputMessage="false" sqref="O20" type="list">
      <formula1>"YES,NO"</formula1>
      <formula2>0</formula2>
    </dataValidation>
    <dataValidation allowBlank="true" errorStyle="stop" operator="between" showDropDown="false" showErrorMessage="false" showInputMessage="false" sqref="P20" type="list">
      <formula1>"YES,NO"</formula1>
      <formula2>0</formula2>
    </dataValidation>
    <dataValidation allowBlank="true" errorStyle="stop" operator="between" showDropDown="false" showErrorMessage="false" showInputMessage="false" sqref="G21" type="list">
      <formula1>"YES,NO"</formula1>
      <formula2>0</formula2>
    </dataValidation>
    <dataValidation allowBlank="true" errorStyle="stop" operator="between" showDropDown="false" showErrorMessage="false" showInputMessage="false" sqref="H21" type="list">
      <formula1>"YES,NO"</formula1>
      <formula2>0</formula2>
    </dataValidation>
    <dataValidation allowBlank="true" errorStyle="stop" operator="between" showDropDown="false" showErrorMessage="false" showInputMessage="false" sqref="I21" type="list">
      <formula1>"YES,NO"</formula1>
      <formula2>0</formula2>
    </dataValidation>
    <dataValidation allowBlank="true" errorStyle="stop" operator="between" showDropDown="false" showErrorMessage="false" showInputMessage="false" sqref="J21" type="list">
      <formula1>"YES,NO"</formula1>
      <formula2>0</formula2>
    </dataValidation>
    <dataValidation allowBlank="true" errorStyle="stop" operator="between" showDropDown="false" showErrorMessage="false" showInputMessage="false" sqref="K21" type="list">
      <formula1>"YES,NO"</formula1>
      <formula2>0</formula2>
    </dataValidation>
    <dataValidation allowBlank="true" errorStyle="stop" operator="between" showDropDown="false" showErrorMessage="false" showInputMessage="false" sqref="L21" type="list">
      <formula1>"YES,NO"</formula1>
      <formula2>0</formula2>
    </dataValidation>
    <dataValidation allowBlank="true" errorStyle="stop" operator="between" showDropDown="false" showErrorMessage="false" showInputMessage="false" sqref="M21" type="list">
      <formula1>"YES,NO"</formula1>
      <formula2>0</formula2>
    </dataValidation>
    <dataValidation allowBlank="true" errorStyle="stop" operator="between" showDropDown="false" showErrorMessage="false" showInputMessage="false" sqref="N21" type="list">
      <formula1>"YES,NO"</formula1>
      <formula2>0</formula2>
    </dataValidation>
    <dataValidation allowBlank="true" errorStyle="stop" operator="between" showDropDown="false" showErrorMessage="false" showInputMessage="false" sqref="O21" type="list">
      <formula1>"YES,NO"</formula1>
      <formula2>0</formula2>
    </dataValidation>
    <dataValidation allowBlank="true" errorStyle="stop" operator="between" showDropDown="false" showErrorMessage="false" showInputMessage="false" sqref="P21" type="list">
      <formula1>"YES,NO"</formula1>
      <formula2>0</formula2>
    </dataValidation>
    <dataValidation allowBlank="true" errorStyle="stop" operator="between" showDropDown="false" showErrorMessage="false" showInputMessage="false" sqref="G22" type="list">
      <formula1>"YES,NO"</formula1>
      <formula2>0</formula2>
    </dataValidation>
    <dataValidation allowBlank="true" errorStyle="stop" operator="between" showDropDown="false" showErrorMessage="false" showInputMessage="false" sqref="H22" type="list">
      <formula1>"YES,NO"</formula1>
      <formula2>0</formula2>
    </dataValidation>
    <dataValidation allowBlank="true" errorStyle="stop" operator="between" showDropDown="false" showErrorMessage="false" showInputMessage="false" sqref="I22" type="list">
      <formula1>"YES,NO"</formula1>
      <formula2>0</formula2>
    </dataValidation>
    <dataValidation allowBlank="true" errorStyle="stop" operator="between" showDropDown="false" showErrorMessage="false" showInputMessage="false" sqref="J22" type="list">
      <formula1>"YES,NO"</formula1>
      <formula2>0</formula2>
    </dataValidation>
    <dataValidation allowBlank="true" errorStyle="stop" operator="between" showDropDown="false" showErrorMessage="false" showInputMessage="false" sqref="K22" type="list">
      <formula1>"YES,NO"</formula1>
      <formula2>0</formula2>
    </dataValidation>
    <dataValidation allowBlank="true" errorStyle="stop" operator="between" showDropDown="false" showErrorMessage="false" showInputMessage="false" sqref="L22" type="list">
      <formula1>"YES,NO"</formula1>
      <formula2>0</formula2>
    </dataValidation>
    <dataValidation allowBlank="true" errorStyle="stop" operator="between" showDropDown="false" showErrorMessage="false" showInputMessage="false" sqref="M22" type="list">
      <formula1>"YES,NO"</formula1>
      <formula2>0</formula2>
    </dataValidation>
    <dataValidation allowBlank="true" errorStyle="stop" operator="between" showDropDown="false" showErrorMessage="false" showInputMessage="false" sqref="N22" type="list">
      <formula1>"YES,NO"</formula1>
      <formula2>0</formula2>
    </dataValidation>
    <dataValidation allowBlank="true" errorStyle="stop" operator="between" showDropDown="false" showErrorMessage="false" showInputMessage="false" sqref="O22" type="list">
      <formula1>"YES,NO"</formula1>
      <formula2>0</formula2>
    </dataValidation>
    <dataValidation allowBlank="true" errorStyle="stop" operator="between" showDropDown="false" showErrorMessage="false" showInputMessage="false" sqref="P22" type="list">
      <formula1>"YES,NO"</formula1>
      <formula2>0</formula2>
    </dataValidation>
    <dataValidation allowBlank="true" errorStyle="stop" operator="between" showDropDown="false" showErrorMessage="false" showInputMessage="false" sqref="G23" type="list">
      <formula1>"YES,NO"</formula1>
      <formula2>0</formula2>
    </dataValidation>
    <dataValidation allowBlank="true" errorStyle="stop" operator="between" showDropDown="false" showErrorMessage="false" showInputMessage="false" sqref="H23" type="list">
      <formula1>"YES,NO"</formula1>
      <formula2>0</formula2>
    </dataValidation>
    <dataValidation allowBlank="true" errorStyle="stop" operator="between" showDropDown="false" showErrorMessage="false" showInputMessage="false" sqref="I23" type="list">
      <formula1>"YES,NO"</formula1>
      <formula2>0</formula2>
    </dataValidation>
    <dataValidation allowBlank="true" errorStyle="stop" operator="between" showDropDown="false" showErrorMessage="false" showInputMessage="false" sqref="J23" type="list">
      <formula1>"YES,NO"</formula1>
      <formula2>0</formula2>
    </dataValidation>
    <dataValidation allowBlank="true" errorStyle="stop" operator="between" showDropDown="false" showErrorMessage="false" showInputMessage="false" sqref="K23" type="list">
      <formula1>"YES,NO"</formula1>
      <formula2>0</formula2>
    </dataValidation>
    <dataValidation allowBlank="true" errorStyle="stop" operator="between" showDropDown="false" showErrorMessage="false" showInputMessage="false" sqref="L23" type="list">
      <formula1>"YES,NO"</formula1>
      <formula2>0</formula2>
    </dataValidation>
    <dataValidation allowBlank="true" errorStyle="stop" operator="between" showDropDown="false" showErrorMessage="false" showInputMessage="false" sqref="M23" type="list">
      <formula1>"YES,NO"</formula1>
      <formula2>0</formula2>
    </dataValidation>
    <dataValidation allowBlank="true" errorStyle="stop" operator="between" showDropDown="false" showErrorMessage="false" showInputMessage="false" sqref="N23" type="list">
      <formula1>"YES,NO"</formula1>
      <formula2>0</formula2>
    </dataValidation>
    <dataValidation allowBlank="true" errorStyle="stop" operator="between" showDropDown="false" showErrorMessage="false" showInputMessage="false" sqref="O23" type="list">
      <formula1>"YES,NO"</formula1>
      <formula2>0</formula2>
    </dataValidation>
    <dataValidation allowBlank="true" errorStyle="stop" operator="between" showDropDown="false" showErrorMessage="false" showInputMessage="false" sqref="P23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090"/>
    <pageSetUpPr fitToPage="false"/>
  </sheetPr>
  <dimension ref="B1:S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15" min="6" style="0" width="14"/>
    <col collapsed="false" customWidth="true" hidden="false" outlineLevel="0" max="16" min="16" style="0" width="16"/>
    <col collapsed="false" customWidth="true" hidden="false" outlineLevel="0" max="17" min="17" style="0" width="22"/>
    <col collapsed="false" customWidth="true" hidden="false" outlineLevel="0" max="18" min="18" style="0" width="20"/>
  </cols>
  <sheetData>
    <row r="1" customFormat="false" ht="7.5" hidden="false" customHeight="true" outlineLevel="0" collapsed="false"/>
    <row r="2" customFormat="false" ht="42" hidden="false" customHeight="true" outlineLevel="0" collapsed="false">
      <c r="B2" s="35" t="s">
        <v>117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</row>
    <row r="3" customFormat="false" ht="7.5" hidden="false" customHeight="true" outlineLevel="0" collapsed="false"/>
    <row r="4" customFormat="false" ht="36" hidden="false" customHeight="true" outlineLevel="0" collapsed="false">
      <c r="B4" s="36" t="s">
        <v>28</v>
      </c>
      <c r="C4" s="36" t="s">
        <v>29</v>
      </c>
      <c r="D4" s="36" t="s">
        <v>30</v>
      </c>
      <c r="E4" s="36" t="s">
        <v>31</v>
      </c>
      <c r="F4" s="36" t="s">
        <v>32</v>
      </c>
      <c r="G4" s="36" t="s">
        <v>33</v>
      </c>
      <c r="H4" s="36" t="s">
        <v>34</v>
      </c>
      <c r="I4" s="36" t="s">
        <v>13</v>
      </c>
      <c r="J4" s="36" t="s">
        <v>15</v>
      </c>
      <c r="K4" s="36" t="s">
        <v>35</v>
      </c>
      <c r="L4" s="36" t="s">
        <v>36</v>
      </c>
      <c r="M4" s="36" t="s">
        <v>17</v>
      </c>
      <c r="N4" s="36" t="s">
        <v>37</v>
      </c>
      <c r="O4" s="36" t="s">
        <v>19</v>
      </c>
      <c r="P4" s="36" t="s">
        <v>38</v>
      </c>
      <c r="Q4" s="36" t="s">
        <v>39</v>
      </c>
      <c r="R4" s="36" t="s">
        <v>40</v>
      </c>
      <c r="S4" s="36" t="s">
        <v>41</v>
      </c>
    </row>
    <row r="5" customFormat="false" ht="21.75" hidden="false" customHeight="true" outlineLevel="0" collapsed="false">
      <c r="B5" s="37" t="n">
        <v>1</v>
      </c>
      <c r="C5" s="14" t="s">
        <v>118</v>
      </c>
      <c r="D5" s="15" t="s">
        <v>65</v>
      </c>
      <c r="E5" s="15" t="s">
        <v>116</v>
      </c>
      <c r="F5" s="38" t="s">
        <v>4</v>
      </c>
      <c r="G5" s="15" t="s">
        <v>45</v>
      </c>
      <c r="H5" s="15" t="s">
        <v>45</v>
      </c>
      <c r="I5" s="15" t="s">
        <v>45</v>
      </c>
      <c r="J5" s="15" t="s">
        <v>45</v>
      </c>
      <c r="K5" s="15" t="s">
        <v>45</v>
      </c>
      <c r="L5" s="15" t="s">
        <v>46</v>
      </c>
      <c r="M5" s="15" t="s">
        <v>45</v>
      </c>
      <c r="N5" s="15" t="s">
        <v>45</v>
      </c>
      <c r="O5" s="15" t="s">
        <v>45</v>
      </c>
      <c r="P5" s="15" t="s">
        <v>46</v>
      </c>
      <c r="Q5" s="39" t="n">
        <f aca="false">COUNTIF(G5:P5,"YES")</f>
        <v>8</v>
      </c>
      <c r="R5" s="40"/>
      <c r="S5" s="15"/>
    </row>
    <row r="6" customFormat="false" ht="21.75" hidden="false" customHeight="true" outlineLevel="0" collapsed="false">
      <c r="B6" s="41" t="n">
        <v>2</v>
      </c>
      <c r="C6" s="4" t="s">
        <v>119</v>
      </c>
      <c r="D6" s="5" t="s">
        <v>74</v>
      </c>
      <c r="E6" s="5" t="s">
        <v>61</v>
      </c>
      <c r="F6" s="38" t="s">
        <v>5</v>
      </c>
      <c r="G6" s="5" t="s">
        <v>46</v>
      </c>
      <c r="H6" s="5" t="s">
        <v>46</v>
      </c>
      <c r="I6" s="5" t="s">
        <v>46</v>
      </c>
      <c r="J6" s="5" t="s">
        <v>45</v>
      </c>
      <c r="K6" s="5" t="s">
        <v>46</v>
      </c>
      <c r="L6" s="5" t="s">
        <v>46</v>
      </c>
      <c r="M6" s="5" t="s">
        <v>45</v>
      </c>
      <c r="N6" s="5" t="s">
        <v>45</v>
      </c>
      <c r="O6" s="5" t="s">
        <v>46</v>
      </c>
      <c r="P6" s="5" t="s">
        <v>45</v>
      </c>
      <c r="Q6" s="39" t="n">
        <f aca="false">COUNTIF(G6:P6,"YES")</f>
        <v>4</v>
      </c>
      <c r="R6" s="42"/>
      <c r="S6" s="5"/>
    </row>
    <row r="7" customFormat="false" ht="21.75" hidden="false" customHeight="true" outlineLevel="0" collapsed="false">
      <c r="B7" s="37" t="n">
        <v>3</v>
      </c>
      <c r="C7" s="14" t="s">
        <v>120</v>
      </c>
      <c r="D7" s="15" t="s">
        <v>48</v>
      </c>
      <c r="E7" s="15" t="s">
        <v>121</v>
      </c>
      <c r="F7" s="38" t="s">
        <v>7</v>
      </c>
      <c r="G7" s="15" t="s">
        <v>46</v>
      </c>
      <c r="H7" s="15" t="s">
        <v>45</v>
      </c>
      <c r="I7" s="15" t="s">
        <v>45</v>
      </c>
      <c r="J7" s="15" t="s">
        <v>46</v>
      </c>
      <c r="K7" s="15" t="s">
        <v>45</v>
      </c>
      <c r="L7" s="15" t="s">
        <v>45</v>
      </c>
      <c r="M7" s="15" t="s">
        <v>46</v>
      </c>
      <c r="N7" s="15" t="s">
        <v>46</v>
      </c>
      <c r="O7" s="15" t="s">
        <v>45</v>
      </c>
      <c r="P7" s="15" t="s">
        <v>46</v>
      </c>
      <c r="Q7" s="39" t="n">
        <f aca="false">COUNTIF(G7:P7,"YES")</f>
        <v>5</v>
      </c>
      <c r="R7" s="40"/>
      <c r="S7" s="15"/>
    </row>
    <row r="8" customFormat="false" ht="21.75" hidden="false" customHeight="true" outlineLevel="0" collapsed="false">
      <c r="B8" s="41" t="n">
        <v>4</v>
      </c>
      <c r="C8" s="4" t="s">
        <v>122</v>
      </c>
      <c r="D8" s="5" t="s">
        <v>65</v>
      </c>
      <c r="E8" s="5" t="s">
        <v>123</v>
      </c>
      <c r="F8" s="38" t="s">
        <v>7</v>
      </c>
      <c r="G8" s="5" t="s">
        <v>46</v>
      </c>
      <c r="H8" s="5" t="s">
        <v>45</v>
      </c>
      <c r="I8" s="5" t="s">
        <v>46</v>
      </c>
      <c r="J8" s="5" t="s">
        <v>46</v>
      </c>
      <c r="K8" s="5" t="s">
        <v>45</v>
      </c>
      <c r="L8" s="5" t="s">
        <v>46</v>
      </c>
      <c r="M8" s="5" t="s">
        <v>46</v>
      </c>
      <c r="N8" s="5" t="s">
        <v>45</v>
      </c>
      <c r="O8" s="5" t="s">
        <v>46</v>
      </c>
      <c r="P8" s="5" t="s">
        <v>46</v>
      </c>
      <c r="Q8" s="39" t="n">
        <f aca="false">COUNTIF(G8:P8,"YES")</f>
        <v>3</v>
      </c>
      <c r="R8" s="42"/>
      <c r="S8" s="5"/>
    </row>
    <row r="9" customFormat="false" ht="21.75" hidden="false" customHeight="true" outlineLevel="0" collapsed="false">
      <c r="B9" s="37" t="n">
        <v>5</v>
      </c>
      <c r="C9" s="14" t="s">
        <v>124</v>
      </c>
      <c r="D9" s="15" t="s">
        <v>74</v>
      </c>
      <c r="E9" s="15" t="s">
        <v>111</v>
      </c>
      <c r="F9" s="38" t="s">
        <v>5</v>
      </c>
      <c r="G9" s="15" t="s">
        <v>46</v>
      </c>
      <c r="H9" s="15" t="s">
        <v>45</v>
      </c>
      <c r="I9" s="15" t="s">
        <v>46</v>
      </c>
      <c r="J9" s="15" t="s">
        <v>46</v>
      </c>
      <c r="K9" s="15" t="s">
        <v>46</v>
      </c>
      <c r="L9" s="15" t="s">
        <v>46</v>
      </c>
      <c r="M9" s="15" t="s">
        <v>46</v>
      </c>
      <c r="N9" s="15" t="s">
        <v>46</v>
      </c>
      <c r="O9" s="15" t="s">
        <v>46</v>
      </c>
      <c r="P9" s="15" t="s">
        <v>46</v>
      </c>
      <c r="Q9" s="39" t="n">
        <f aca="false">COUNTIF(G9:P9,"YES")</f>
        <v>1</v>
      </c>
      <c r="R9" s="40"/>
      <c r="S9" s="15"/>
    </row>
    <row r="10" customFormat="false" ht="21.75" hidden="false" customHeight="true" outlineLevel="0" collapsed="false">
      <c r="B10" s="41" t="n">
        <v>6</v>
      </c>
      <c r="C10" s="4" t="s">
        <v>125</v>
      </c>
      <c r="D10" s="5" t="s">
        <v>43</v>
      </c>
      <c r="E10" s="5" t="s">
        <v>116</v>
      </c>
      <c r="F10" s="38" t="s">
        <v>4</v>
      </c>
      <c r="G10" s="5" t="s">
        <v>46</v>
      </c>
      <c r="H10" s="5" t="s">
        <v>46</v>
      </c>
      <c r="I10" s="5" t="s">
        <v>45</v>
      </c>
      <c r="J10" s="5" t="s">
        <v>46</v>
      </c>
      <c r="K10" s="5" t="s">
        <v>46</v>
      </c>
      <c r="L10" s="5" t="s">
        <v>46</v>
      </c>
      <c r="M10" s="5" t="s">
        <v>46</v>
      </c>
      <c r="N10" s="5" t="s">
        <v>46</v>
      </c>
      <c r="O10" s="5" t="s">
        <v>45</v>
      </c>
      <c r="P10" s="5" t="s">
        <v>46</v>
      </c>
      <c r="Q10" s="39" t="n">
        <f aca="false">COUNTIF(G10:P10,"YES")</f>
        <v>2</v>
      </c>
      <c r="R10" s="42"/>
      <c r="S10" s="5"/>
    </row>
    <row r="11" customFormat="false" ht="21.75" hidden="false" customHeight="true" outlineLevel="0" collapsed="false">
      <c r="B11" s="37" t="n">
        <v>7</v>
      </c>
      <c r="C11" s="14" t="s">
        <v>126</v>
      </c>
      <c r="D11" s="15" t="s">
        <v>43</v>
      </c>
      <c r="E11" s="15" t="s">
        <v>81</v>
      </c>
      <c r="F11" s="38" t="s">
        <v>5</v>
      </c>
      <c r="G11" s="15" t="s">
        <v>46</v>
      </c>
      <c r="H11" s="15" t="s">
        <v>46</v>
      </c>
      <c r="I11" s="15" t="s">
        <v>46</v>
      </c>
      <c r="J11" s="15" t="s">
        <v>46</v>
      </c>
      <c r="K11" s="15" t="s">
        <v>46</v>
      </c>
      <c r="L11" s="15" t="s">
        <v>46</v>
      </c>
      <c r="M11" s="15" t="s">
        <v>46</v>
      </c>
      <c r="N11" s="15" t="s">
        <v>45</v>
      </c>
      <c r="O11" s="15" t="s">
        <v>46</v>
      </c>
      <c r="P11" s="15" t="s">
        <v>45</v>
      </c>
      <c r="Q11" s="39" t="n">
        <f aca="false">COUNTIF(G11:P11,"YES")</f>
        <v>2</v>
      </c>
      <c r="R11" s="40"/>
      <c r="S11" s="15"/>
    </row>
    <row r="12" customFormat="false" ht="21.75" hidden="false" customHeight="true" outlineLevel="0" collapsed="false">
      <c r="B12" s="41" t="n">
        <v>8</v>
      </c>
      <c r="C12" s="4" t="s">
        <v>127</v>
      </c>
      <c r="D12" s="5" t="s">
        <v>65</v>
      </c>
      <c r="E12" s="5" t="s">
        <v>128</v>
      </c>
      <c r="F12" s="38" t="s">
        <v>7</v>
      </c>
      <c r="G12" s="5" t="s">
        <v>46</v>
      </c>
      <c r="H12" s="5" t="s">
        <v>46</v>
      </c>
      <c r="I12" s="5" t="s">
        <v>45</v>
      </c>
      <c r="J12" s="5" t="s">
        <v>46</v>
      </c>
      <c r="K12" s="5" t="s">
        <v>46</v>
      </c>
      <c r="L12" s="5" t="s">
        <v>46</v>
      </c>
      <c r="M12" s="5" t="s">
        <v>45</v>
      </c>
      <c r="N12" s="5" t="s">
        <v>45</v>
      </c>
      <c r="O12" s="5" t="s">
        <v>46</v>
      </c>
      <c r="P12" s="5" t="s">
        <v>45</v>
      </c>
      <c r="Q12" s="39" t="n">
        <f aca="false">COUNTIF(G12:P12,"YES")</f>
        <v>4</v>
      </c>
      <c r="R12" s="42"/>
      <c r="S12" s="5"/>
    </row>
    <row r="13" customFormat="false" ht="21.75" hidden="false" customHeight="true" outlineLevel="0" collapsed="false">
      <c r="B13" s="37" t="n">
        <v>9</v>
      </c>
      <c r="C13" s="14" t="s">
        <v>129</v>
      </c>
      <c r="D13" s="15" t="s">
        <v>51</v>
      </c>
      <c r="E13" s="15" t="s">
        <v>63</v>
      </c>
      <c r="F13" s="38" t="s">
        <v>6</v>
      </c>
      <c r="G13" s="15" t="s">
        <v>46</v>
      </c>
      <c r="H13" s="15" t="s">
        <v>46</v>
      </c>
      <c r="I13" s="15" t="s">
        <v>46</v>
      </c>
      <c r="J13" s="15" t="s">
        <v>46</v>
      </c>
      <c r="K13" s="15" t="s">
        <v>46</v>
      </c>
      <c r="L13" s="15" t="s">
        <v>46</v>
      </c>
      <c r="M13" s="15" t="s">
        <v>46</v>
      </c>
      <c r="N13" s="15" t="s">
        <v>46</v>
      </c>
      <c r="O13" s="15" t="s">
        <v>46</v>
      </c>
      <c r="P13" s="15" t="s">
        <v>46</v>
      </c>
      <c r="Q13" s="39" t="n">
        <f aca="false">COUNTIF(G13:P13,"YES")</f>
        <v>0</v>
      </c>
      <c r="R13" s="40"/>
      <c r="S13" s="15"/>
    </row>
    <row r="14" customFormat="false" ht="21.75" hidden="false" customHeight="true" outlineLevel="0" collapsed="false">
      <c r="B14" s="41" t="n">
        <v>10</v>
      </c>
      <c r="C14" s="4" t="s">
        <v>130</v>
      </c>
      <c r="D14" s="5" t="s">
        <v>43</v>
      </c>
      <c r="E14" s="5" t="s">
        <v>116</v>
      </c>
      <c r="F14" s="38" t="s">
        <v>4</v>
      </c>
      <c r="G14" s="5" t="s">
        <v>45</v>
      </c>
      <c r="H14" s="5" t="s">
        <v>46</v>
      </c>
      <c r="I14" s="5" t="s">
        <v>45</v>
      </c>
      <c r="J14" s="5" t="s">
        <v>46</v>
      </c>
      <c r="K14" s="5" t="s">
        <v>45</v>
      </c>
      <c r="L14" s="5" t="s">
        <v>45</v>
      </c>
      <c r="M14" s="5" t="s">
        <v>45</v>
      </c>
      <c r="N14" s="5" t="s">
        <v>46</v>
      </c>
      <c r="O14" s="5" t="s">
        <v>46</v>
      </c>
      <c r="P14" s="5" t="s">
        <v>46</v>
      </c>
      <c r="Q14" s="39" t="n">
        <f aca="false">COUNTIF(G14:P14,"YES")</f>
        <v>5</v>
      </c>
      <c r="R14" s="42"/>
      <c r="S14" s="5"/>
    </row>
    <row r="15" customFormat="false" ht="21.75" hidden="false" customHeight="true" outlineLevel="0" collapsed="false">
      <c r="B15" s="37" t="n">
        <v>11</v>
      </c>
      <c r="C15" s="14" t="s">
        <v>131</v>
      </c>
      <c r="D15" s="15" t="s">
        <v>48</v>
      </c>
      <c r="E15" s="15" t="s">
        <v>132</v>
      </c>
      <c r="F15" s="38" t="s">
        <v>4</v>
      </c>
      <c r="G15" s="15" t="s">
        <v>45</v>
      </c>
      <c r="H15" s="15" t="s">
        <v>46</v>
      </c>
      <c r="I15" s="15" t="s">
        <v>45</v>
      </c>
      <c r="J15" s="15" t="s">
        <v>46</v>
      </c>
      <c r="K15" s="15" t="s">
        <v>45</v>
      </c>
      <c r="L15" s="15" t="s">
        <v>46</v>
      </c>
      <c r="M15" s="15" t="s">
        <v>45</v>
      </c>
      <c r="N15" s="15" t="s">
        <v>46</v>
      </c>
      <c r="O15" s="15" t="s">
        <v>45</v>
      </c>
      <c r="P15" s="15" t="s">
        <v>46</v>
      </c>
      <c r="Q15" s="39" t="n">
        <f aca="false">COUNTIF(G15:P15,"YES")</f>
        <v>5</v>
      </c>
      <c r="R15" s="40"/>
      <c r="S15" s="15"/>
    </row>
    <row r="16" customFormat="false" ht="21.75" hidden="false" customHeight="true" outlineLevel="0" collapsed="false">
      <c r="B16" s="41" t="n">
        <v>12</v>
      </c>
      <c r="C16" s="4" t="s">
        <v>133</v>
      </c>
      <c r="D16" s="5" t="s">
        <v>65</v>
      </c>
      <c r="E16" s="5" t="s">
        <v>134</v>
      </c>
      <c r="F16" s="38" t="s">
        <v>6</v>
      </c>
      <c r="G16" s="5" t="s">
        <v>45</v>
      </c>
      <c r="H16" s="5" t="s">
        <v>46</v>
      </c>
      <c r="I16" s="5" t="s">
        <v>45</v>
      </c>
      <c r="J16" s="5" t="s">
        <v>45</v>
      </c>
      <c r="K16" s="5" t="s">
        <v>46</v>
      </c>
      <c r="L16" s="5" t="s">
        <v>46</v>
      </c>
      <c r="M16" s="5" t="s">
        <v>46</v>
      </c>
      <c r="N16" s="5" t="s">
        <v>46</v>
      </c>
      <c r="O16" s="5" t="s">
        <v>46</v>
      </c>
      <c r="P16" s="5" t="s">
        <v>46</v>
      </c>
      <c r="Q16" s="39" t="n">
        <f aca="false">COUNTIF(G16:P16,"YES")</f>
        <v>3</v>
      </c>
      <c r="R16" s="42"/>
      <c r="S16" s="5"/>
    </row>
    <row r="17" customFormat="false" ht="21.75" hidden="false" customHeight="true" outlineLevel="0" collapsed="false">
      <c r="B17" s="37" t="n">
        <v>13</v>
      </c>
      <c r="C17" s="14" t="s">
        <v>135</v>
      </c>
      <c r="D17" s="15" t="s">
        <v>54</v>
      </c>
      <c r="E17" s="15" t="s">
        <v>121</v>
      </c>
      <c r="F17" s="38" t="s">
        <v>7</v>
      </c>
      <c r="G17" s="15" t="s">
        <v>45</v>
      </c>
      <c r="H17" s="15" t="s">
        <v>45</v>
      </c>
      <c r="I17" s="15" t="s">
        <v>46</v>
      </c>
      <c r="J17" s="15" t="s">
        <v>46</v>
      </c>
      <c r="K17" s="15" t="s">
        <v>45</v>
      </c>
      <c r="L17" s="15" t="s">
        <v>46</v>
      </c>
      <c r="M17" s="15" t="s">
        <v>45</v>
      </c>
      <c r="N17" s="15" t="s">
        <v>45</v>
      </c>
      <c r="O17" s="15" t="s">
        <v>45</v>
      </c>
      <c r="P17" s="15" t="s">
        <v>46</v>
      </c>
      <c r="Q17" s="39" t="n">
        <f aca="false">COUNTIF(G17:P17,"YES")</f>
        <v>6</v>
      </c>
      <c r="R17" s="40"/>
      <c r="S17" s="15"/>
    </row>
    <row r="18" customFormat="false" ht="21.75" hidden="false" customHeight="true" outlineLevel="0" collapsed="false">
      <c r="B18" s="41" t="n">
        <v>14</v>
      </c>
      <c r="C18" s="4" t="s">
        <v>136</v>
      </c>
      <c r="D18" s="5" t="s">
        <v>43</v>
      </c>
      <c r="E18" s="5" t="s">
        <v>137</v>
      </c>
      <c r="F18" s="38" t="s">
        <v>4</v>
      </c>
      <c r="G18" s="5" t="s">
        <v>46</v>
      </c>
      <c r="H18" s="5" t="s">
        <v>46</v>
      </c>
      <c r="I18" s="5" t="s">
        <v>46</v>
      </c>
      <c r="J18" s="5" t="s">
        <v>46</v>
      </c>
      <c r="K18" s="5" t="s">
        <v>46</v>
      </c>
      <c r="L18" s="5" t="s">
        <v>45</v>
      </c>
      <c r="M18" s="5" t="s">
        <v>46</v>
      </c>
      <c r="N18" s="5" t="s">
        <v>46</v>
      </c>
      <c r="O18" s="5" t="s">
        <v>46</v>
      </c>
      <c r="P18" s="5" t="s">
        <v>46</v>
      </c>
      <c r="Q18" s="39" t="n">
        <f aca="false">COUNTIF(G18:P18,"YES")</f>
        <v>1</v>
      </c>
      <c r="R18" s="42"/>
      <c r="S18" s="5"/>
    </row>
    <row r="19" customFormat="false" ht="21.75" hidden="false" customHeight="true" outlineLevel="0" collapsed="false">
      <c r="B19" s="37" t="n">
        <v>15</v>
      </c>
      <c r="C19" s="14" t="s">
        <v>138</v>
      </c>
      <c r="D19" s="15" t="s">
        <v>43</v>
      </c>
      <c r="E19" s="15" t="s">
        <v>139</v>
      </c>
      <c r="F19" s="38" t="s">
        <v>6</v>
      </c>
      <c r="G19" s="15" t="s">
        <v>46</v>
      </c>
      <c r="H19" s="15" t="s">
        <v>46</v>
      </c>
      <c r="I19" s="15" t="s">
        <v>45</v>
      </c>
      <c r="J19" s="15" t="s">
        <v>46</v>
      </c>
      <c r="K19" s="15" t="s">
        <v>45</v>
      </c>
      <c r="L19" s="15" t="s">
        <v>45</v>
      </c>
      <c r="M19" s="15" t="s">
        <v>45</v>
      </c>
      <c r="N19" s="15" t="s">
        <v>46</v>
      </c>
      <c r="O19" s="15" t="s">
        <v>45</v>
      </c>
      <c r="P19" s="15" t="s">
        <v>45</v>
      </c>
      <c r="Q19" s="39" t="n">
        <f aca="false">COUNTIF(G19:P19,"YES")</f>
        <v>6</v>
      </c>
      <c r="R19" s="40"/>
      <c r="S19" s="15"/>
    </row>
    <row r="20" customFormat="false" ht="21.75" hidden="false" customHeight="true" outlineLevel="0" collapsed="false">
      <c r="B20" s="41" t="n">
        <v>16</v>
      </c>
      <c r="C20" s="4" t="s">
        <v>140</v>
      </c>
      <c r="D20" s="5" t="s">
        <v>54</v>
      </c>
      <c r="E20" s="5" t="s">
        <v>59</v>
      </c>
      <c r="F20" s="38" t="s">
        <v>4</v>
      </c>
      <c r="G20" s="5" t="s">
        <v>45</v>
      </c>
      <c r="H20" s="5" t="s">
        <v>45</v>
      </c>
      <c r="I20" s="5" t="s">
        <v>46</v>
      </c>
      <c r="J20" s="5" t="s">
        <v>46</v>
      </c>
      <c r="K20" s="5" t="s">
        <v>46</v>
      </c>
      <c r="L20" s="5" t="s">
        <v>46</v>
      </c>
      <c r="M20" s="5" t="s">
        <v>46</v>
      </c>
      <c r="N20" s="5" t="s">
        <v>45</v>
      </c>
      <c r="O20" s="5" t="s">
        <v>45</v>
      </c>
      <c r="P20" s="5" t="s">
        <v>46</v>
      </c>
      <c r="Q20" s="39" t="n">
        <f aca="false">COUNTIF(G20:P20,"YES")</f>
        <v>4</v>
      </c>
      <c r="R20" s="42"/>
      <c r="S20" s="5"/>
    </row>
    <row r="21" customFormat="false" ht="21.75" hidden="false" customHeight="true" outlineLevel="0" collapsed="false">
      <c r="B21" s="37" t="n">
        <v>17</v>
      </c>
      <c r="C21" s="14" t="s">
        <v>141</v>
      </c>
      <c r="D21" s="15" t="s">
        <v>74</v>
      </c>
      <c r="E21" s="15" t="s">
        <v>142</v>
      </c>
      <c r="F21" s="38" t="s">
        <v>7</v>
      </c>
      <c r="G21" s="15" t="s">
        <v>45</v>
      </c>
      <c r="H21" s="15" t="s">
        <v>45</v>
      </c>
      <c r="I21" s="15" t="s">
        <v>46</v>
      </c>
      <c r="J21" s="15" t="s">
        <v>46</v>
      </c>
      <c r="K21" s="15" t="s">
        <v>45</v>
      </c>
      <c r="L21" s="15" t="s">
        <v>46</v>
      </c>
      <c r="M21" s="15" t="s">
        <v>45</v>
      </c>
      <c r="N21" s="15" t="s">
        <v>46</v>
      </c>
      <c r="O21" s="15" t="s">
        <v>45</v>
      </c>
      <c r="P21" s="15" t="s">
        <v>45</v>
      </c>
      <c r="Q21" s="39" t="n">
        <f aca="false">COUNTIF(G21:P21,"YES")</f>
        <v>6</v>
      </c>
      <c r="R21" s="40"/>
      <c r="S21" s="15"/>
    </row>
    <row r="22" customFormat="false" ht="21.75" hidden="false" customHeight="true" outlineLevel="0" collapsed="false">
      <c r="B22" s="41" t="n">
        <v>18</v>
      </c>
      <c r="C22" s="4" t="s">
        <v>143</v>
      </c>
      <c r="D22" s="5" t="s">
        <v>43</v>
      </c>
      <c r="E22" s="5" t="s">
        <v>144</v>
      </c>
      <c r="F22" s="38" t="s">
        <v>4</v>
      </c>
      <c r="G22" s="5" t="s">
        <v>45</v>
      </c>
      <c r="H22" s="5" t="s">
        <v>46</v>
      </c>
      <c r="I22" s="5" t="s">
        <v>46</v>
      </c>
      <c r="J22" s="5" t="s">
        <v>46</v>
      </c>
      <c r="K22" s="5" t="s">
        <v>46</v>
      </c>
      <c r="L22" s="5" t="s">
        <v>46</v>
      </c>
      <c r="M22" s="5" t="s">
        <v>45</v>
      </c>
      <c r="N22" s="5" t="s">
        <v>46</v>
      </c>
      <c r="O22" s="5" t="s">
        <v>46</v>
      </c>
      <c r="P22" s="5" t="s">
        <v>46</v>
      </c>
      <c r="Q22" s="39" t="n">
        <f aca="false">COUNTIF(G22:P22,"YES")</f>
        <v>2</v>
      </c>
      <c r="R22" s="42"/>
      <c r="S22" s="5"/>
    </row>
    <row r="23" customFormat="false" ht="21.75" hidden="false" customHeight="true" outlineLevel="0" collapsed="false">
      <c r="B23" s="37" t="n">
        <v>19</v>
      </c>
      <c r="C23" s="14" t="s">
        <v>145</v>
      </c>
      <c r="D23" s="15" t="s">
        <v>43</v>
      </c>
      <c r="E23" s="15" t="s">
        <v>55</v>
      </c>
      <c r="F23" s="38" t="s">
        <v>7</v>
      </c>
      <c r="G23" s="15" t="s">
        <v>46</v>
      </c>
      <c r="H23" s="15" t="s">
        <v>45</v>
      </c>
      <c r="I23" s="15" t="s">
        <v>46</v>
      </c>
      <c r="J23" s="15" t="s">
        <v>45</v>
      </c>
      <c r="K23" s="15" t="s">
        <v>46</v>
      </c>
      <c r="L23" s="15" t="s">
        <v>46</v>
      </c>
      <c r="M23" s="15" t="s">
        <v>46</v>
      </c>
      <c r="N23" s="15" t="s">
        <v>46</v>
      </c>
      <c r="O23" s="15" t="s">
        <v>45</v>
      </c>
      <c r="P23" s="15" t="s">
        <v>45</v>
      </c>
      <c r="Q23" s="39" t="n">
        <f aca="false">COUNTIF(G23:P23,"YES")</f>
        <v>4</v>
      </c>
      <c r="R23" s="40"/>
      <c r="S23" s="15"/>
    </row>
  </sheetData>
  <mergeCells count="1">
    <mergeCell ref="B2:R2"/>
  </mergeCells>
  <conditionalFormatting sqref="F5:F23">
    <cfRule type="containsText" priority="2" operator="containsText" aboveAverage="0" equalAverage="0" bottom="0" percent="0" rank="0" text="GREEN" dxfId="0">
      <formula>NOT(ISERROR(SEARCH("GREEN",F5)))</formula>
    </cfRule>
    <cfRule type="containsText" priority="3" operator="containsText" aboveAverage="0" equalAverage="0" bottom="0" percent="0" rank="0" text="YELLOW" dxfId="1">
      <formula>NOT(ISERROR(SEARCH("YELLOW",F5)))</formula>
    </cfRule>
    <cfRule type="containsText" priority="4" operator="containsText" aboveAverage="0" equalAverage="0" bottom="0" percent="0" rank="0" text="RED" dxfId="2">
      <formula>NOT(ISERROR(SEARCH("RED",F5)))</formula>
    </cfRule>
    <cfRule type="containsText" priority="5" operator="containsText" aboveAverage="0" equalAverage="0" bottom="0" percent="0" rank="0" text="BLACK" dxfId="3">
      <formula>NOT(ISERROR(SEARCH("BLACK",F5)))</formula>
    </cfRule>
  </conditionalFormatting>
  <conditionalFormatting sqref="Q5:Q23">
    <cfRule type="cellIs" priority="6" operator="between" aboveAverage="0" equalAverage="0" bottom="0" percent="0" rank="0" text="" dxfId="0">
      <formula>0</formula>
      <formula>2</formula>
    </cfRule>
    <cfRule type="cellIs" priority="7" operator="between" aboveAverage="0" equalAverage="0" bottom="0" percent="0" rank="0" text="" dxfId="1">
      <formula>3</formula>
      <formula>5</formula>
    </cfRule>
    <cfRule type="cellIs" priority="8" operator="between" aboveAverage="0" equalAverage="0" bottom="0" percent="0" rank="0" text="" dxfId="2">
      <formula>6</formula>
      <formula>8</formula>
    </cfRule>
    <cfRule type="cellIs" priority="9" operator="between" aboveAverage="0" equalAverage="0" bottom="0" percent="0" rank="0" text="" dxfId="3">
      <formula>9</formula>
      <formula>99</formula>
    </cfRule>
  </conditionalFormatting>
  <dataValidations count="191">
    <dataValidation allowBlank="true" error="Please select a valid status." errorStyle="stop" errorTitle="Invalid Entry" operator="between" showDropDown="false" showErrorMessage="true" showInputMessage="false" sqref="F5:F23" type="list">
      <formula1>"🟢 GREEN,🟡 YELLOW,🔴 RED,⚫ BLACK"</formula1>
      <formula2>0</formula2>
    </dataValidation>
    <dataValidation allowBlank="true" errorStyle="stop" operator="between" showDropDown="false" showErrorMessage="false" showInputMessage="false" sqref="G5" type="list">
      <formula1>"YES,NO"</formula1>
      <formula2>0</formula2>
    </dataValidation>
    <dataValidation allowBlank="true" errorStyle="stop" operator="between" showDropDown="false" showErrorMessage="false" showInputMessage="false" sqref="H5" type="list">
      <formula1>"YES,NO"</formula1>
      <formula2>0</formula2>
    </dataValidation>
    <dataValidation allowBlank="true" errorStyle="stop" operator="between" showDropDown="false" showErrorMessage="false" showInputMessage="false" sqref="I5" type="list">
      <formula1>"YES,NO"</formula1>
      <formula2>0</formula2>
    </dataValidation>
    <dataValidation allowBlank="true" errorStyle="stop" operator="between" showDropDown="false" showErrorMessage="false" showInputMessage="false" sqref="J5" type="list">
      <formula1>"YES,NO"</formula1>
      <formula2>0</formula2>
    </dataValidation>
    <dataValidation allowBlank="true" errorStyle="stop" operator="between" showDropDown="false" showErrorMessage="false" showInputMessage="false" sqref="K5" type="list">
      <formula1>"YES,NO"</formula1>
      <formula2>0</formula2>
    </dataValidation>
    <dataValidation allowBlank="true" errorStyle="stop" operator="between" showDropDown="false" showErrorMessage="false" showInputMessage="false" sqref="L5" type="list">
      <formula1>"YES,NO"</formula1>
      <formula2>0</formula2>
    </dataValidation>
    <dataValidation allowBlank="true" errorStyle="stop" operator="between" showDropDown="false" showErrorMessage="false" showInputMessage="false" sqref="M5" type="list">
      <formula1>"YES,NO"</formula1>
      <formula2>0</formula2>
    </dataValidation>
    <dataValidation allowBlank="true" errorStyle="stop" operator="between" showDropDown="false" showErrorMessage="false" showInputMessage="false" sqref="N5" type="list">
      <formula1>"YES,NO"</formula1>
      <formula2>0</formula2>
    </dataValidation>
    <dataValidation allowBlank="true" errorStyle="stop" operator="between" showDropDown="false" showErrorMessage="false" showInputMessage="false" sqref="O5" type="list">
      <formula1>"YES,NO"</formula1>
      <formula2>0</formula2>
    </dataValidation>
    <dataValidation allowBlank="true" errorStyle="stop" operator="between" showDropDown="false" showErrorMessage="false" showInputMessage="false" sqref="P5" type="list">
      <formula1>"YES,NO"</formula1>
      <formula2>0</formula2>
    </dataValidation>
    <dataValidation allowBlank="true" errorStyle="stop" operator="between" showDropDown="false" showErrorMessage="false" showInputMessage="false" sqref="G6" type="list">
      <formula1>"YES,NO"</formula1>
      <formula2>0</formula2>
    </dataValidation>
    <dataValidation allowBlank="true" errorStyle="stop" operator="between" showDropDown="false" showErrorMessage="false" showInputMessage="false" sqref="H6" type="list">
      <formula1>"YES,NO"</formula1>
      <formula2>0</formula2>
    </dataValidation>
    <dataValidation allowBlank="true" errorStyle="stop" operator="between" showDropDown="false" showErrorMessage="false" showInputMessage="false" sqref="I6" type="list">
      <formula1>"YES,NO"</formula1>
      <formula2>0</formula2>
    </dataValidation>
    <dataValidation allowBlank="true" errorStyle="stop" operator="between" showDropDown="false" showErrorMessage="false" showInputMessage="false" sqref="J6" type="list">
      <formula1>"YES,NO"</formula1>
      <formula2>0</formula2>
    </dataValidation>
    <dataValidation allowBlank="true" errorStyle="stop" operator="between" showDropDown="false" showErrorMessage="false" showInputMessage="false" sqref="K6" type="list">
      <formula1>"YES,NO"</formula1>
      <formula2>0</formula2>
    </dataValidation>
    <dataValidation allowBlank="true" errorStyle="stop" operator="between" showDropDown="false" showErrorMessage="false" showInputMessage="false" sqref="L6" type="list">
      <formula1>"YES,NO"</formula1>
      <formula2>0</formula2>
    </dataValidation>
    <dataValidation allowBlank="true" errorStyle="stop" operator="between" showDropDown="false" showErrorMessage="false" showInputMessage="false" sqref="M6" type="list">
      <formula1>"YES,NO"</formula1>
      <formula2>0</formula2>
    </dataValidation>
    <dataValidation allowBlank="true" errorStyle="stop" operator="between" showDropDown="false" showErrorMessage="false" showInputMessage="false" sqref="N6" type="list">
      <formula1>"YES,NO"</formula1>
      <formula2>0</formula2>
    </dataValidation>
    <dataValidation allowBlank="true" errorStyle="stop" operator="between" showDropDown="false" showErrorMessage="false" showInputMessage="false" sqref="O6" type="list">
      <formula1>"YES,NO"</formula1>
      <formula2>0</formula2>
    </dataValidation>
    <dataValidation allowBlank="true" errorStyle="stop" operator="between" showDropDown="false" showErrorMessage="false" showInputMessage="false" sqref="P6" type="list">
      <formula1>"YES,NO"</formula1>
      <formula2>0</formula2>
    </dataValidation>
    <dataValidation allowBlank="true" errorStyle="stop" operator="between" showDropDown="false" showErrorMessage="false" showInputMessage="false" sqref="G7" type="list">
      <formula1>"YES,NO"</formula1>
      <formula2>0</formula2>
    </dataValidation>
    <dataValidation allowBlank="true" errorStyle="stop" operator="between" showDropDown="false" showErrorMessage="false" showInputMessage="false" sqref="H7" type="list">
      <formula1>"YES,NO"</formula1>
      <formula2>0</formula2>
    </dataValidation>
    <dataValidation allowBlank="true" errorStyle="stop" operator="between" showDropDown="false" showErrorMessage="false" showInputMessage="false" sqref="I7" type="list">
      <formula1>"YES,NO"</formula1>
      <formula2>0</formula2>
    </dataValidation>
    <dataValidation allowBlank="true" errorStyle="stop" operator="between" showDropDown="false" showErrorMessage="false" showInputMessage="false" sqref="J7" type="list">
      <formula1>"YES,NO"</formula1>
      <formula2>0</formula2>
    </dataValidation>
    <dataValidation allowBlank="true" errorStyle="stop" operator="between" showDropDown="false" showErrorMessage="false" showInputMessage="false" sqref="K7" type="list">
      <formula1>"YES,NO"</formula1>
      <formula2>0</formula2>
    </dataValidation>
    <dataValidation allowBlank="true" errorStyle="stop" operator="between" showDropDown="false" showErrorMessage="false" showInputMessage="false" sqref="L7" type="list">
      <formula1>"YES,NO"</formula1>
      <formula2>0</formula2>
    </dataValidation>
    <dataValidation allowBlank="true" errorStyle="stop" operator="between" showDropDown="false" showErrorMessage="false" showInputMessage="false" sqref="M7" type="list">
      <formula1>"YES,NO"</formula1>
      <formula2>0</formula2>
    </dataValidation>
    <dataValidation allowBlank="true" errorStyle="stop" operator="between" showDropDown="false" showErrorMessage="false" showInputMessage="false" sqref="N7" type="list">
      <formula1>"YES,NO"</formula1>
      <formula2>0</formula2>
    </dataValidation>
    <dataValidation allowBlank="true" errorStyle="stop" operator="between" showDropDown="false" showErrorMessage="false" showInputMessage="false" sqref="O7" type="list">
      <formula1>"YES,NO"</formula1>
      <formula2>0</formula2>
    </dataValidation>
    <dataValidation allowBlank="true" errorStyle="stop" operator="between" showDropDown="false" showErrorMessage="false" showInputMessage="false" sqref="P7" type="list">
      <formula1>"YES,NO"</formula1>
      <formula2>0</formula2>
    </dataValidation>
    <dataValidation allowBlank="true" errorStyle="stop" operator="between" showDropDown="false" showErrorMessage="false" showInputMessage="false" sqref="G8" type="list">
      <formula1>"YES,NO"</formula1>
      <formula2>0</formula2>
    </dataValidation>
    <dataValidation allowBlank="true" errorStyle="stop" operator="between" showDropDown="false" showErrorMessage="false" showInputMessage="false" sqref="H8" type="list">
      <formula1>"YES,NO"</formula1>
      <formula2>0</formula2>
    </dataValidation>
    <dataValidation allowBlank="true" errorStyle="stop" operator="between" showDropDown="false" showErrorMessage="false" showInputMessage="false" sqref="I8" type="list">
      <formula1>"YES,NO"</formula1>
      <formula2>0</formula2>
    </dataValidation>
    <dataValidation allowBlank="true" errorStyle="stop" operator="between" showDropDown="false" showErrorMessage="false" showInputMessage="false" sqref="J8" type="list">
      <formula1>"YES,NO"</formula1>
      <formula2>0</formula2>
    </dataValidation>
    <dataValidation allowBlank="true" errorStyle="stop" operator="between" showDropDown="false" showErrorMessage="false" showInputMessage="false" sqref="K8" type="list">
      <formula1>"YES,NO"</formula1>
      <formula2>0</formula2>
    </dataValidation>
    <dataValidation allowBlank="true" errorStyle="stop" operator="between" showDropDown="false" showErrorMessage="false" showInputMessage="false" sqref="L8" type="list">
      <formula1>"YES,NO"</formula1>
      <formula2>0</formula2>
    </dataValidation>
    <dataValidation allowBlank="true" errorStyle="stop" operator="between" showDropDown="false" showErrorMessage="false" showInputMessage="false" sqref="M8" type="list">
      <formula1>"YES,NO"</formula1>
      <formula2>0</formula2>
    </dataValidation>
    <dataValidation allowBlank="true" errorStyle="stop" operator="between" showDropDown="false" showErrorMessage="false" showInputMessage="false" sqref="N8" type="list">
      <formula1>"YES,NO"</formula1>
      <formula2>0</formula2>
    </dataValidation>
    <dataValidation allowBlank="true" errorStyle="stop" operator="between" showDropDown="false" showErrorMessage="false" showInputMessage="false" sqref="O8" type="list">
      <formula1>"YES,NO"</formula1>
      <formula2>0</formula2>
    </dataValidation>
    <dataValidation allowBlank="true" errorStyle="stop" operator="between" showDropDown="false" showErrorMessage="false" showInputMessage="false" sqref="P8" type="list">
      <formula1>"YES,NO"</formula1>
      <formula2>0</formula2>
    </dataValidation>
    <dataValidation allowBlank="true" errorStyle="stop" operator="between" showDropDown="false" showErrorMessage="false" showInputMessage="false" sqref="G9" type="list">
      <formula1>"YES,NO"</formula1>
      <formula2>0</formula2>
    </dataValidation>
    <dataValidation allowBlank="true" errorStyle="stop" operator="between" showDropDown="false" showErrorMessage="false" showInputMessage="false" sqref="H9" type="list">
      <formula1>"YES,NO"</formula1>
      <formula2>0</formula2>
    </dataValidation>
    <dataValidation allowBlank="true" errorStyle="stop" operator="between" showDropDown="false" showErrorMessage="false" showInputMessage="false" sqref="I9" type="list">
      <formula1>"YES,NO"</formula1>
      <formula2>0</formula2>
    </dataValidation>
    <dataValidation allowBlank="true" errorStyle="stop" operator="between" showDropDown="false" showErrorMessage="false" showInputMessage="false" sqref="J9" type="list">
      <formula1>"YES,NO"</formula1>
      <formula2>0</formula2>
    </dataValidation>
    <dataValidation allowBlank="true" errorStyle="stop" operator="between" showDropDown="false" showErrorMessage="false" showInputMessage="false" sqref="K9" type="list">
      <formula1>"YES,NO"</formula1>
      <formula2>0</formula2>
    </dataValidation>
    <dataValidation allowBlank="true" errorStyle="stop" operator="between" showDropDown="false" showErrorMessage="false" showInputMessage="false" sqref="L9" type="list">
      <formula1>"YES,NO"</formula1>
      <formula2>0</formula2>
    </dataValidation>
    <dataValidation allowBlank="true" errorStyle="stop" operator="between" showDropDown="false" showErrorMessage="false" showInputMessage="false" sqref="M9" type="list">
      <formula1>"YES,NO"</formula1>
      <formula2>0</formula2>
    </dataValidation>
    <dataValidation allowBlank="true" errorStyle="stop" operator="between" showDropDown="false" showErrorMessage="false" showInputMessage="false" sqref="N9" type="list">
      <formula1>"YES,NO"</formula1>
      <formula2>0</formula2>
    </dataValidation>
    <dataValidation allowBlank="true" errorStyle="stop" operator="between" showDropDown="false" showErrorMessage="false" showInputMessage="false" sqref="O9" type="list">
      <formula1>"YES,NO"</formula1>
      <formula2>0</formula2>
    </dataValidation>
    <dataValidation allowBlank="true" errorStyle="stop" operator="between" showDropDown="false" showErrorMessage="false" showInputMessage="false" sqref="P9" type="list">
      <formula1>"YES,NO"</formula1>
      <formula2>0</formula2>
    </dataValidation>
    <dataValidation allowBlank="true" errorStyle="stop" operator="between" showDropDown="false" showErrorMessage="false" showInputMessage="false" sqref="G10" type="list">
      <formula1>"YES,NO"</formula1>
      <formula2>0</formula2>
    </dataValidation>
    <dataValidation allowBlank="true" errorStyle="stop" operator="between" showDropDown="false" showErrorMessage="false" showInputMessage="false" sqref="H10" type="list">
      <formula1>"YES,NO"</formula1>
      <formula2>0</formula2>
    </dataValidation>
    <dataValidation allowBlank="true" errorStyle="stop" operator="between" showDropDown="false" showErrorMessage="false" showInputMessage="false" sqref="I10" type="list">
      <formula1>"YES,NO"</formula1>
      <formula2>0</formula2>
    </dataValidation>
    <dataValidation allowBlank="true" errorStyle="stop" operator="between" showDropDown="false" showErrorMessage="false" showInputMessage="false" sqref="J10" type="list">
      <formula1>"YES,NO"</formula1>
      <formula2>0</formula2>
    </dataValidation>
    <dataValidation allowBlank="true" errorStyle="stop" operator="between" showDropDown="false" showErrorMessage="false" showInputMessage="false" sqref="K10" type="list">
      <formula1>"YES,NO"</formula1>
      <formula2>0</formula2>
    </dataValidation>
    <dataValidation allowBlank="true" errorStyle="stop" operator="between" showDropDown="false" showErrorMessage="false" showInputMessage="false" sqref="L10" type="list">
      <formula1>"YES,NO"</formula1>
      <formula2>0</formula2>
    </dataValidation>
    <dataValidation allowBlank="true" errorStyle="stop" operator="between" showDropDown="false" showErrorMessage="false" showInputMessage="false" sqref="M10" type="list">
      <formula1>"YES,NO"</formula1>
      <formula2>0</formula2>
    </dataValidation>
    <dataValidation allowBlank="true" errorStyle="stop" operator="between" showDropDown="false" showErrorMessage="false" showInputMessage="false" sqref="N10" type="list">
      <formula1>"YES,NO"</formula1>
      <formula2>0</formula2>
    </dataValidation>
    <dataValidation allowBlank="true" errorStyle="stop" operator="between" showDropDown="false" showErrorMessage="false" showInputMessage="false" sqref="O10" type="list">
      <formula1>"YES,NO"</formula1>
      <formula2>0</formula2>
    </dataValidation>
    <dataValidation allowBlank="true" errorStyle="stop" operator="between" showDropDown="false" showErrorMessage="false" showInputMessage="false" sqref="P10" type="list">
      <formula1>"YES,NO"</formula1>
      <formula2>0</formula2>
    </dataValidation>
    <dataValidation allowBlank="true" errorStyle="stop" operator="between" showDropDown="false" showErrorMessage="false" showInputMessage="false" sqref="G11" type="list">
      <formula1>"YES,NO"</formula1>
      <formula2>0</formula2>
    </dataValidation>
    <dataValidation allowBlank="true" errorStyle="stop" operator="between" showDropDown="false" showErrorMessage="false" showInputMessage="false" sqref="H11" type="list">
      <formula1>"YES,NO"</formula1>
      <formula2>0</formula2>
    </dataValidation>
    <dataValidation allowBlank="true" errorStyle="stop" operator="between" showDropDown="false" showErrorMessage="false" showInputMessage="false" sqref="I11" type="list">
      <formula1>"YES,NO"</formula1>
      <formula2>0</formula2>
    </dataValidation>
    <dataValidation allowBlank="true" errorStyle="stop" operator="between" showDropDown="false" showErrorMessage="false" showInputMessage="false" sqref="J11" type="list">
      <formula1>"YES,NO"</formula1>
      <formula2>0</formula2>
    </dataValidation>
    <dataValidation allowBlank="true" errorStyle="stop" operator="between" showDropDown="false" showErrorMessage="false" showInputMessage="false" sqref="K11" type="list">
      <formula1>"YES,NO"</formula1>
      <formula2>0</formula2>
    </dataValidation>
    <dataValidation allowBlank="true" errorStyle="stop" operator="between" showDropDown="false" showErrorMessage="false" showInputMessage="false" sqref="L11" type="list">
      <formula1>"YES,NO"</formula1>
      <formula2>0</formula2>
    </dataValidation>
    <dataValidation allowBlank="true" errorStyle="stop" operator="between" showDropDown="false" showErrorMessage="false" showInputMessage="false" sqref="M11" type="list">
      <formula1>"YES,NO"</formula1>
      <formula2>0</formula2>
    </dataValidation>
    <dataValidation allowBlank="true" errorStyle="stop" operator="between" showDropDown="false" showErrorMessage="false" showInputMessage="false" sqref="N11" type="list">
      <formula1>"YES,NO"</formula1>
      <formula2>0</formula2>
    </dataValidation>
    <dataValidation allowBlank="true" errorStyle="stop" operator="between" showDropDown="false" showErrorMessage="false" showInputMessage="false" sqref="O11" type="list">
      <formula1>"YES,NO"</formula1>
      <formula2>0</formula2>
    </dataValidation>
    <dataValidation allowBlank="true" errorStyle="stop" operator="between" showDropDown="false" showErrorMessage="false" showInputMessage="false" sqref="P11" type="list">
      <formula1>"YES,NO"</formula1>
      <formula2>0</formula2>
    </dataValidation>
    <dataValidation allowBlank="true" errorStyle="stop" operator="between" showDropDown="false" showErrorMessage="false" showInputMessage="false" sqref="G12" type="list">
      <formula1>"YES,NO"</formula1>
      <formula2>0</formula2>
    </dataValidation>
    <dataValidation allowBlank="true" errorStyle="stop" operator="between" showDropDown="false" showErrorMessage="false" showInputMessage="false" sqref="H12" type="list">
      <formula1>"YES,NO"</formula1>
      <formula2>0</formula2>
    </dataValidation>
    <dataValidation allowBlank="true" errorStyle="stop" operator="between" showDropDown="false" showErrorMessage="false" showInputMessage="false" sqref="I12" type="list">
      <formula1>"YES,NO"</formula1>
      <formula2>0</formula2>
    </dataValidation>
    <dataValidation allowBlank="true" errorStyle="stop" operator="between" showDropDown="false" showErrorMessage="false" showInputMessage="false" sqref="J12" type="list">
      <formula1>"YES,NO"</formula1>
      <formula2>0</formula2>
    </dataValidation>
    <dataValidation allowBlank="true" errorStyle="stop" operator="between" showDropDown="false" showErrorMessage="false" showInputMessage="false" sqref="K12" type="list">
      <formula1>"YES,NO"</formula1>
      <formula2>0</formula2>
    </dataValidation>
    <dataValidation allowBlank="true" errorStyle="stop" operator="between" showDropDown="false" showErrorMessage="false" showInputMessage="false" sqref="L12" type="list">
      <formula1>"YES,NO"</formula1>
      <formula2>0</formula2>
    </dataValidation>
    <dataValidation allowBlank="true" errorStyle="stop" operator="between" showDropDown="false" showErrorMessage="false" showInputMessage="false" sqref="M12" type="list">
      <formula1>"YES,NO"</formula1>
      <formula2>0</formula2>
    </dataValidation>
    <dataValidation allowBlank="true" errorStyle="stop" operator="between" showDropDown="false" showErrorMessage="false" showInputMessage="false" sqref="N12" type="list">
      <formula1>"YES,NO"</formula1>
      <formula2>0</formula2>
    </dataValidation>
    <dataValidation allowBlank="true" errorStyle="stop" operator="between" showDropDown="false" showErrorMessage="false" showInputMessage="false" sqref="O12" type="list">
      <formula1>"YES,NO"</formula1>
      <formula2>0</formula2>
    </dataValidation>
    <dataValidation allowBlank="true" errorStyle="stop" operator="between" showDropDown="false" showErrorMessage="false" showInputMessage="false" sqref="P12" type="list">
      <formula1>"YES,NO"</formula1>
      <formula2>0</formula2>
    </dataValidation>
    <dataValidation allowBlank="true" errorStyle="stop" operator="between" showDropDown="false" showErrorMessage="false" showInputMessage="false" sqref="G13" type="list">
      <formula1>"YES,NO"</formula1>
      <formula2>0</formula2>
    </dataValidation>
    <dataValidation allowBlank="true" errorStyle="stop" operator="between" showDropDown="false" showErrorMessage="false" showInputMessage="false" sqref="H13" type="list">
      <formula1>"YES,NO"</formula1>
      <formula2>0</formula2>
    </dataValidation>
    <dataValidation allowBlank="true" errorStyle="stop" operator="between" showDropDown="false" showErrorMessage="false" showInputMessage="false" sqref="I13" type="list">
      <formula1>"YES,NO"</formula1>
      <formula2>0</formula2>
    </dataValidation>
    <dataValidation allowBlank="true" errorStyle="stop" operator="between" showDropDown="false" showErrorMessage="false" showInputMessage="false" sqref="J13" type="list">
      <formula1>"YES,NO"</formula1>
      <formula2>0</formula2>
    </dataValidation>
    <dataValidation allowBlank="true" errorStyle="stop" operator="between" showDropDown="false" showErrorMessage="false" showInputMessage="false" sqref="K13" type="list">
      <formula1>"YES,NO"</formula1>
      <formula2>0</formula2>
    </dataValidation>
    <dataValidation allowBlank="true" errorStyle="stop" operator="between" showDropDown="false" showErrorMessage="false" showInputMessage="false" sqref="L13" type="list">
      <formula1>"YES,NO"</formula1>
      <formula2>0</formula2>
    </dataValidation>
    <dataValidation allowBlank="true" errorStyle="stop" operator="between" showDropDown="false" showErrorMessage="false" showInputMessage="false" sqref="M13" type="list">
      <formula1>"YES,NO"</formula1>
      <formula2>0</formula2>
    </dataValidation>
    <dataValidation allowBlank="true" errorStyle="stop" operator="between" showDropDown="false" showErrorMessage="false" showInputMessage="false" sqref="N13" type="list">
      <formula1>"YES,NO"</formula1>
      <formula2>0</formula2>
    </dataValidation>
    <dataValidation allowBlank="true" errorStyle="stop" operator="between" showDropDown="false" showErrorMessage="false" showInputMessage="false" sqref="O13" type="list">
      <formula1>"YES,NO"</formula1>
      <formula2>0</formula2>
    </dataValidation>
    <dataValidation allowBlank="true" errorStyle="stop" operator="between" showDropDown="false" showErrorMessage="false" showInputMessage="false" sqref="P13" type="list">
      <formula1>"YES,NO"</formula1>
      <formula2>0</formula2>
    </dataValidation>
    <dataValidation allowBlank="true" errorStyle="stop" operator="between" showDropDown="false" showErrorMessage="false" showInputMessage="false" sqref="G14" type="list">
      <formula1>"YES,NO"</formula1>
      <formula2>0</formula2>
    </dataValidation>
    <dataValidation allowBlank="true" errorStyle="stop" operator="between" showDropDown="false" showErrorMessage="false" showInputMessage="false" sqref="H14" type="list">
      <formula1>"YES,NO"</formula1>
      <formula2>0</formula2>
    </dataValidation>
    <dataValidation allowBlank="true" errorStyle="stop" operator="between" showDropDown="false" showErrorMessage="false" showInputMessage="false" sqref="I14" type="list">
      <formula1>"YES,NO"</formula1>
      <formula2>0</formula2>
    </dataValidation>
    <dataValidation allowBlank="true" errorStyle="stop" operator="between" showDropDown="false" showErrorMessage="false" showInputMessage="false" sqref="J14" type="list">
      <formula1>"YES,NO"</formula1>
      <formula2>0</formula2>
    </dataValidation>
    <dataValidation allowBlank="true" errorStyle="stop" operator="between" showDropDown="false" showErrorMessage="false" showInputMessage="false" sqref="K14" type="list">
      <formula1>"YES,NO"</formula1>
      <formula2>0</formula2>
    </dataValidation>
    <dataValidation allowBlank="true" errorStyle="stop" operator="between" showDropDown="false" showErrorMessage="false" showInputMessage="false" sqref="L14" type="list">
      <formula1>"YES,NO"</formula1>
      <formula2>0</formula2>
    </dataValidation>
    <dataValidation allowBlank="true" errorStyle="stop" operator="between" showDropDown="false" showErrorMessage="false" showInputMessage="false" sqref="M14" type="list">
      <formula1>"YES,NO"</formula1>
      <formula2>0</formula2>
    </dataValidation>
    <dataValidation allowBlank="true" errorStyle="stop" operator="between" showDropDown="false" showErrorMessage="false" showInputMessage="false" sqref="N14" type="list">
      <formula1>"YES,NO"</formula1>
      <formula2>0</formula2>
    </dataValidation>
    <dataValidation allowBlank="true" errorStyle="stop" operator="between" showDropDown="false" showErrorMessage="false" showInputMessage="false" sqref="O14" type="list">
      <formula1>"YES,NO"</formula1>
      <formula2>0</formula2>
    </dataValidation>
    <dataValidation allowBlank="true" errorStyle="stop" operator="between" showDropDown="false" showErrorMessage="false" showInputMessage="false" sqref="P14" type="list">
      <formula1>"YES,NO"</formula1>
      <formula2>0</formula2>
    </dataValidation>
    <dataValidation allowBlank="true" errorStyle="stop" operator="between" showDropDown="false" showErrorMessage="false" showInputMessage="false" sqref="G15" type="list">
      <formula1>"YES,NO"</formula1>
      <formula2>0</formula2>
    </dataValidation>
    <dataValidation allowBlank="true" errorStyle="stop" operator="between" showDropDown="false" showErrorMessage="false" showInputMessage="false" sqref="H15" type="list">
      <formula1>"YES,NO"</formula1>
      <formula2>0</formula2>
    </dataValidation>
    <dataValidation allowBlank="true" errorStyle="stop" operator="between" showDropDown="false" showErrorMessage="false" showInputMessage="false" sqref="I15" type="list">
      <formula1>"YES,NO"</formula1>
      <formula2>0</formula2>
    </dataValidation>
    <dataValidation allowBlank="true" errorStyle="stop" operator="between" showDropDown="false" showErrorMessage="false" showInputMessage="false" sqref="J15" type="list">
      <formula1>"YES,NO"</formula1>
      <formula2>0</formula2>
    </dataValidation>
    <dataValidation allowBlank="true" errorStyle="stop" operator="between" showDropDown="false" showErrorMessage="false" showInputMessage="false" sqref="K15" type="list">
      <formula1>"YES,NO"</formula1>
      <formula2>0</formula2>
    </dataValidation>
    <dataValidation allowBlank="true" errorStyle="stop" operator="between" showDropDown="false" showErrorMessage="false" showInputMessage="false" sqref="L15" type="list">
      <formula1>"YES,NO"</formula1>
      <formula2>0</formula2>
    </dataValidation>
    <dataValidation allowBlank="true" errorStyle="stop" operator="between" showDropDown="false" showErrorMessage="false" showInputMessage="false" sqref="M15" type="list">
      <formula1>"YES,NO"</formula1>
      <formula2>0</formula2>
    </dataValidation>
    <dataValidation allowBlank="true" errorStyle="stop" operator="between" showDropDown="false" showErrorMessage="false" showInputMessage="false" sqref="N15" type="list">
      <formula1>"YES,NO"</formula1>
      <formula2>0</formula2>
    </dataValidation>
    <dataValidation allowBlank="true" errorStyle="stop" operator="between" showDropDown="false" showErrorMessage="false" showInputMessage="false" sqref="O15" type="list">
      <formula1>"YES,NO"</formula1>
      <formula2>0</formula2>
    </dataValidation>
    <dataValidation allowBlank="true" errorStyle="stop" operator="between" showDropDown="false" showErrorMessage="false" showInputMessage="false" sqref="P15" type="list">
      <formula1>"YES,NO"</formula1>
      <formula2>0</formula2>
    </dataValidation>
    <dataValidation allowBlank="true" errorStyle="stop" operator="between" showDropDown="false" showErrorMessage="false" showInputMessage="false" sqref="G16" type="list">
      <formula1>"YES,NO"</formula1>
      <formula2>0</formula2>
    </dataValidation>
    <dataValidation allowBlank="true" errorStyle="stop" operator="between" showDropDown="false" showErrorMessage="false" showInputMessage="false" sqref="H16" type="list">
      <formula1>"YES,NO"</formula1>
      <formula2>0</formula2>
    </dataValidation>
    <dataValidation allowBlank="true" errorStyle="stop" operator="between" showDropDown="false" showErrorMessage="false" showInputMessage="false" sqref="I16" type="list">
      <formula1>"YES,NO"</formula1>
      <formula2>0</formula2>
    </dataValidation>
    <dataValidation allowBlank="true" errorStyle="stop" operator="between" showDropDown="false" showErrorMessage="false" showInputMessage="false" sqref="J16" type="list">
      <formula1>"YES,NO"</formula1>
      <formula2>0</formula2>
    </dataValidation>
    <dataValidation allowBlank="true" errorStyle="stop" operator="between" showDropDown="false" showErrorMessage="false" showInputMessage="false" sqref="K16" type="list">
      <formula1>"YES,NO"</formula1>
      <formula2>0</formula2>
    </dataValidation>
    <dataValidation allowBlank="true" errorStyle="stop" operator="between" showDropDown="false" showErrorMessage="false" showInputMessage="false" sqref="L16" type="list">
      <formula1>"YES,NO"</formula1>
      <formula2>0</formula2>
    </dataValidation>
    <dataValidation allowBlank="true" errorStyle="stop" operator="between" showDropDown="false" showErrorMessage="false" showInputMessage="false" sqref="M16" type="list">
      <formula1>"YES,NO"</formula1>
      <formula2>0</formula2>
    </dataValidation>
    <dataValidation allowBlank="true" errorStyle="stop" operator="between" showDropDown="false" showErrorMessage="false" showInputMessage="false" sqref="N16" type="list">
      <formula1>"YES,NO"</formula1>
      <formula2>0</formula2>
    </dataValidation>
    <dataValidation allowBlank="true" errorStyle="stop" operator="between" showDropDown="false" showErrorMessage="false" showInputMessage="false" sqref="O16" type="list">
      <formula1>"YES,NO"</formula1>
      <formula2>0</formula2>
    </dataValidation>
    <dataValidation allowBlank="true" errorStyle="stop" operator="between" showDropDown="false" showErrorMessage="false" showInputMessage="false" sqref="P16" type="list">
      <formula1>"YES,NO"</formula1>
      <formula2>0</formula2>
    </dataValidation>
    <dataValidation allowBlank="true" errorStyle="stop" operator="between" showDropDown="false" showErrorMessage="false" showInputMessage="false" sqref="G17" type="list">
      <formula1>"YES,NO"</formula1>
      <formula2>0</formula2>
    </dataValidation>
    <dataValidation allowBlank="true" errorStyle="stop" operator="between" showDropDown="false" showErrorMessage="false" showInputMessage="false" sqref="H17" type="list">
      <formula1>"YES,NO"</formula1>
      <formula2>0</formula2>
    </dataValidation>
    <dataValidation allowBlank="true" errorStyle="stop" operator="between" showDropDown="false" showErrorMessage="false" showInputMessage="false" sqref="I17" type="list">
      <formula1>"YES,NO"</formula1>
      <formula2>0</formula2>
    </dataValidation>
    <dataValidation allowBlank="true" errorStyle="stop" operator="between" showDropDown="false" showErrorMessage="false" showInputMessage="false" sqref="J17" type="list">
      <formula1>"YES,NO"</formula1>
      <formula2>0</formula2>
    </dataValidation>
    <dataValidation allowBlank="true" errorStyle="stop" operator="between" showDropDown="false" showErrorMessage="false" showInputMessage="false" sqref="K17" type="list">
      <formula1>"YES,NO"</formula1>
      <formula2>0</formula2>
    </dataValidation>
    <dataValidation allowBlank="true" errorStyle="stop" operator="between" showDropDown="false" showErrorMessage="false" showInputMessage="false" sqref="L17" type="list">
      <formula1>"YES,NO"</formula1>
      <formula2>0</formula2>
    </dataValidation>
    <dataValidation allowBlank="true" errorStyle="stop" operator="between" showDropDown="false" showErrorMessage="false" showInputMessage="false" sqref="M17" type="list">
      <formula1>"YES,NO"</formula1>
      <formula2>0</formula2>
    </dataValidation>
    <dataValidation allowBlank="true" errorStyle="stop" operator="between" showDropDown="false" showErrorMessage="false" showInputMessage="false" sqref="N17" type="list">
      <formula1>"YES,NO"</formula1>
      <formula2>0</formula2>
    </dataValidation>
    <dataValidation allowBlank="true" errorStyle="stop" operator="between" showDropDown="false" showErrorMessage="false" showInputMessage="false" sqref="O17" type="list">
      <formula1>"YES,NO"</formula1>
      <formula2>0</formula2>
    </dataValidation>
    <dataValidation allowBlank="true" errorStyle="stop" operator="between" showDropDown="false" showErrorMessage="false" showInputMessage="false" sqref="P17" type="list">
      <formula1>"YES,NO"</formula1>
      <formula2>0</formula2>
    </dataValidation>
    <dataValidation allowBlank="true" errorStyle="stop" operator="between" showDropDown="false" showErrorMessage="false" showInputMessage="false" sqref="G18" type="list">
      <formula1>"YES,NO"</formula1>
      <formula2>0</formula2>
    </dataValidation>
    <dataValidation allowBlank="true" errorStyle="stop" operator="between" showDropDown="false" showErrorMessage="false" showInputMessage="false" sqref="H18" type="list">
      <formula1>"YES,NO"</formula1>
      <formula2>0</formula2>
    </dataValidation>
    <dataValidation allowBlank="true" errorStyle="stop" operator="between" showDropDown="false" showErrorMessage="false" showInputMessage="false" sqref="I18" type="list">
      <formula1>"YES,NO"</formula1>
      <formula2>0</formula2>
    </dataValidation>
    <dataValidation allowBlank="true" errorStyle="stop" operator="between" showDropDown="false" showErrorMessage="false" showInputMessage="false" sqref="J18" type="list">
      <formula1>"YES,NO"</formula1>
      <formula2>0</formula2>
    </dataValidation>
    <dataValidation allowBlank="true" errorStyle="stop" operator="between" showDropDown="false" showErrorMessage="false" showInputMessage="false" sqref="K18" type="list">
      <formula1>"YES,NO"</formula1>
      <formula2>0</formula2>
    </dataValidation>
    <dataValidation allowBlank="true" errorStyle="stop" operator="between" showDropDown="false" showErrorMessage="false" showInputMessage="false" sqref="L18" type="list">
      <formula1>"YES,NO"</formula1>
      <formula2>0</formula2>
    </dataValidation>
    <dataValidation allowBlank="true" errorStyle="stop" operator="between" showDropDown="false" showErrorMessage="false" showInputMessage="false" sqref="M18" type="list">
      <formula1>"YES,NO"</formula1>
      <formula2>0</formula2>
    </dataValidation>
    <dataValidation allowBlank="true" errorStyle="stop" operator="between" showDropDown="false" showErrorMessage="false" showInputMessage="false" sqref="N18" type="list">
      <formula1>"YES,NO"</formula1>
      <formula2>0</formula2>
    </dataValidation>
    <dataValidation allowBlank="true" errorStyle="stop" operator="between" showDropDown="false" showErrorMessage="false" showInputMessage="false" sqref="O18" type="list">
      <formula1>"YES,NO"</formula1>
      <formula2>0</formula2>
    </dataValidation>
    <dataValidation allowBlank="true" errorStyle="stop" operator="between" showDropDown="false" showErrorMessage="false" showInputMessage="false" sqref="P18" type="list">
      <formula1>"YES,NO"</formula1>
      <formula2>0</formula2>
    </dataValidation>
    <dataValidation allowBlank="true" errorStyle="stop" operator="between" showDropDown="false" showErrorMessage="false" showInputMessage="false" sqref="G19" type="list">
      <formula1>"YES,NO"</formula1>
      <formula2>0</formula2>
    </dataValidation>
    <dataValidation allowBlank="true" errorStyle="stop" operator="between" showDropDown="false" showErrorMessage="false" showInputMessage="false" sqref="H19" type="list">
      <formula1>"YES,NO"</formula1>
      <formula2>0</formula2>
    </dataValidation>
    <dataValidation allowBlank="true" errorStyle="stop" operator="between" showDropDown="false" showErrorMessage="false" showInputMessage="false" sqref="I19" type="list">
      <formula1>"YES,NO"</formula1>
      <formula2>0</formula2>
    </dataValidation>
    <dataValidation allowBlank="true" errorStyle="stop" operator="between" showDropDown="false" showErrorMessage="false" showInputMessage="false" sqref="J19" type="list">
      <formula1>"YES,NO"</formula1>
      <formula2>0</formula2>
    </dataValidation>
    <dataValidation allowBlank="true" errorStyle="stop" operator="between" showDropDown="false" showErrorMessage="false" showInputMessage="false" sqref="K19" type="list">
      <formula1>"YES,NO"</formula1>
      <formula2>0</formula2>
    </dataValidation>
    <dataValidation allowBlank="true" errorStyle="stop" operator="between" showDropDown="false" showErrorMessage="false" showInputMessage="false" sqref="L19" type="list">
      <formula1>"YES,NO"</formula1>
      <formula2>0</formula2>
    </dataValidation>
    <dataValidation allowBlank="true" errorStyle="stop" operator="between" showDropDown="false" showErrorMessage="false" showInputMessage="false" sqref="M19" type="list">
      <formula1>"YES,NO"</formula1>
      <formula2>0</formula2>
    </dataValidation>
    <dataValidation allowBlank="true" errorStyle="stop" operator="between" showDropDown="false" showErrorMessage="false" showInputMessage="false" sqref="N19" type="list">
      <formula1>"YES,NO"</formula1>
      <formula2>0</formula2>
    </dataValidation>
    <dataValidation allowBlank="true" errorStyle="stop" operator="between" showDropDown="false" showErrorMessage="false" showInputMessage="false" sqref="O19" type="list">
      <formula1>"YES,NO"</formula1>
      <formula2>0</formula2>
    </dataValidation>
    <dataValidation allowBlank="true" errorStyle="stop" operator="between" showDropDown="false" showErrorMessage="false" showInputMessage="false" sqref="P19" type="list">
      <formula1>"YES,NO"</formula1>
      <formula2>0</formula2>
    </dataValidation>
    <dataValidation allowBlank="true" errorStyle="stop" operator="between" showDropDown="false" showErrorMessage="false" showInputMessage="false" sqref="G20" type="list">
      <formula1>"YES,NO"</formula1>
      <formula2>0</formula2>
    </dataValidation>
    <dataValidation allowBlank="true" errorStyle="stop" operator="between" showDropDown="false" showErrorMessage="false" showInputMessage="false" sqref="H20" type="list">
      <formula1>"YES,NO"</formula1>
      <formula2>0</formula2>
    </dataValidation>
    <dataValidation allowBlank="true" errorStyle="stop" operator="between" showDropDown="false" showErrorMessage="false" showInputMessage="false" sqref="I20" type="list">
      <formula1>"YES,NO"</formula1>
      <formula2>0</formula2>
    </dataValidation>
    <dataValidation allowBlank="true" errorStyle="stop" operator="between" showDropDown="false" showErrorMessage="false" showInputMessage="false" sqref="J20" type="list">
      <formula1>"YES,NO"</formula1>
      <formula2>0</formula2>
    </dataValidation>
    <dataValidation allowBlank="true" errorStyle="stop" operator="between" showDropDown="false" showErrorMessage="false" showInputMessage="false" sqref="K20" type="list">
      <formula1>"YES,NO"</formula1>
      <formula2>0</formula2>
    </dataValidation>
    <dataValidation allowBlank="true" errorStyle="stop" operator="between" showDropDown="false" showErrorMessage="false" showInputMessage="false" sqref="L20" type="list">
      <formula1>"YES,NO"</formula1>
      <formula2>0</formula2>
    </dataValidation>
    <dataValidation allowBlank="true" errorStyle="stop" operator="between" showDropDown="false" showErrorMessage="false" showInputMessage="false" sqref="M20" type="list">
      <formula1>"YES,NO"</formula1>
      <formula2>0</formula2>
    </dataValidation>
    <dataValidation allowBlank="true" errorStyle="stop" operator="between" showDropDown="false" showErrorMessage="false" showInputMessage="false" sqref="N20" type="list">
      <formula1>"YES,NO"</formula1>
      <formula2>0</formula2>
    </dataValidation>
    <dataValidation allowBlank="true" errorStyle="stop" operator="between" showDropDown="false" showErrorMessage="false" showInputMessage="false" sqref="O20" type="list">
      <formula1>"YES,NO"</formula1>
      <formula2>0</formula2>
    </dataValidation>
    <dataValidation allowBlank="true" errorStyle="stop" operator="between" showDropDown="false" showErrorMessage="false" showInputMessage="false" sqref="P20" type="list">
      <formula1>"YES,NO"</formula1>
      <formula2>0</formula2>
    </dataValidation>
    <dataValidation allowBlank="true" errorStyle="stop" operator="between" showDropDown="false" showErrorMessage="false" showInputMessage="false" sqref="G21" type="list">
      <formula1>"YES,NO"</formula1>
      <formula2>0</formula2>
    </dataValidation>
    <dataValidation allowBlank="true" errorStyle="stop" operator="between" showDropDown="false" showErrorMessage="false" showInputMessage="false" sqref="H21" type="list">
      <formula1>"YES,NO"</formula1>
      <formula2>0</formula2>
    </dataValidation>
    <dataValidation allowBlank="true" errorStyle="stop" operator="between" showDropDown="false" showErrorMessage="false" showInputMessage="false" sqref="I21" type="list">
      <formula1>"YES,NO"</formula1>
      <formula2>0</formula2>
    </dataValidation>
    <dataValidation allowBlank="true" errorStyle="stop" operator="between" showDropDown="false" showErrorMessage="false" showInputMessage="false" sqref="J21" type="list">
      <formula1>"YES,NO"</formula1>
      <formula2>0</formula2>
    </dataValidation>
    <dataValidation allowBlank="true" errorStyle="stop" operator="between" showDropDown="false" showErrorMessage="false" showInputMessage="false" sqref="K21" type="list">
      <formula1>"YES,NO"</formula1>
      <formula2>0</formula2>
    </dataValidation>
    <dataValidation allowBlank="true" errorStyle="stop" operator="between" showDropDown="false" showErrorMessage="false" showInputMessage="false" sqref="L21" type="list">
      <formula1>"YES,NO"</formula1>
      <formula2>0</formula2>
    </dataValidation>
    <dataValidation allowBlank="true" errorStyle="stop" operator="between" showDropDown="false" showErrorMessage="false" showInputMessage="false" sqref="M21" type="list">
      <formula1>"YES,NO"</formula1>
      <formula2>0</formula2>
    </dataValidation>
    <dataValidation allowBlank="true" errorStyle="stop" operator="between" showDropDown="false" showErrorMessage="false" showInputMessage="false" sqref="N21" type="list">
      <formula1>"YES,NO"</formula1>
      <formula2>0</formula2>
    </dataValidation>
    <dataValidation allowBlank="true" errorStyle="stop" operator="between" showDropDown="false" showErrorMessage="false" showInputMessage="false" sqref="O21" type="list">
      <formula1>"YES,NO"</formula1>
      <formula2>0</formula2>
    </dataValidation>
    <dataValidation allowBlank="true" errorStyle="stop" operator="between" showDropDown="false" showErrorMessage="false" showInputMessage="false" sqref="P21" type="list">
      <formula1>"YES,NO"</formula1>
      <formula2>0</formula2>
    </dataValidation>
    <dataValidation allowBlank="true" errorStyle="stop" operator="between" showDropDown="false" showErrorMessage="false" showInputMessage="false" sqref="G22" type="list">
      <formula1>"YES,NO"</formula1>
      <formula2>0</formula2>
    </dataValidation>
    <dataValidation allowBlank="true" errorStyle="stop" operator="between" showDropDown="false" showErrorMessage="false" showInputMessage="false" sqref="H22" type="list">
      <formula1>"YES,NO"</formula1>
      <formula2>0</formula2>
    </dataValidation>
    <dataValidation allowBlank="true" errorStyle="stop" operator="between" showDropDown="false" showErrorMessage="false" showInputMessage="false" sqref="I22" type="list">
      <formula1>"YES,NO"</formula1>
      <formula2>0</formula2>
    </dataValidation>
    <dataValidation allowBlank="true" errorStyle="stop" operator="between" showDropDown="false" showErrorMessage="false" showInputMessage="false" sqref="J22" type="list">
      <formula1>"YES,NO"</formula1>
      <formula2>0</formula2>
    </dataValidation>
    <dataValidation allowBlank="true" errorStyle="stop" operator="between" showDropDown="false" showErrorMessage="false" showInputMessage="false" sqref="K22" type="list">
      <formula1>"YES,NO"</formula1>
      <formula2>0</formula2>
    </dataValidation>
    <dataValidation allowBlank="true" errorStyle="stop" operator="between" showDropDown="false" showErrorMessage="false" showInputMessage="false" sqref="L22" type="list">
      <formula1>"YES,NO"</formula1>
      <formula2>0</formula2>
    </dataValidation>
    <dataValidation allowBlank="true" errorStyle="stop" operator="between" showDropDown="false" showErrorMessage="false" showInputMessage="false" sqref="M22" type="list">
      <formula1>"YES,NO"</formula1>
      <formula2>0</formula2>
    </dataValidation>
    <dataValidation allowBlank="true" errorStyle="stop" operator="between" showDropDown="false" showErrorMessage="false" showInputMessage="false" sqref="N22" type="list">
      <formula1>"YES,NO"</formula1>
      <formula2>0</formula2>
    </dataValidation>
    <dataValidation allowBlank="true" errorStyle="stop" operator="between" showDropDown="false" showErrorMessage="false" showInputMessage="false" sqref="O22" type="list">
      <formula1>"YES,NO"</formula1>
      <formula2>0</formula2>
    </dataValidation>
    <dataValidation allowBlank="true" errorStyle="stop" operator="between" showDropDown="false" showErrorMessage="false" showInputMessage="false" sqref="P22" type="list">
      <formula1>"YES,NO"</formula1>
      <formula2>0</formula2>
    </dataValidation>
    <dataValidation allowBlank="true" errorStyle="stop" operator="between" showDropDown="false" showErrorMessage="false" showInputMessage="false" sqref="G23" type="list">
      <formula1>"YES,NO"</formula1>
      <formula2>0</formula2>
    </dataValidation>
    <dataValidation allowBlank="true" errorStyle="stop" operator="between" showDropDown="false" showErrorMessage="false" showInputMessage="false" sqref="H23" type="list">
      <formula1>"YES,NO"</formula1>
      <formula2>0</formula2>
    </dataValidation>
    <dataValidation allowBlank="true" errorStyle="stop" operator="between" showDropDown="false" showErrorMessage="false" showInputMessage="false" sqref="I23" type="list">
      <formula1>"YES,NO"</formula1>
      <formula2>0</formula2>
    </dataValidation>
    <dataValidation allowBlank="true" errorStyle="stop" operator="between" showDropDown="false" showErrorMessage="false" showInputMessage="false" sqref="J23" type="list">
      <formula1>"YES,NO"</formula1>
      <formula2>0</formula2>
    </dataValidation>
    <dataValidation allowBlank="true" errorStyle="stop" operator="between" showDropDown="false" showErrorMessage="false" showInputMessage="false" sqref="K23" type="list">
      <formula1>"YES,NO"</formula1>
      <formula2>0</formula2>
    </dataValidation>
    <dataValidation allowBlank="true" errorStyle="stop" operator="between" showDropDown="false" showErrorMessage="false" showInputMessage="false" sqref="L23" type="list">
      <formula1>"YES,NO"</formula1>
      <formula2>0</formula2>
    </dataValidation>
    <dataValidation allowBlank="true" errorStyle="stop" operator="between" showDropDown="false" showErrorMessage="false" showInputMessage="false" sqref="M23" type="list">
      <formula1>"YES,NO"</formula1>
      <formula2>0</formula2>
    </dataValidation>
    <dataValidation allowBlank="true" errorStyle="stop" operator="between" showDropDown="false" showErrorMessage="false" showInputMessage="false" sqref="N23" type="list">
      <formula1>"YES,NO"</formula1>
      <formula2>0</formula2>
    </dataValidation>
    <dataValidation allowBlank="true" errorStyle="stop" operator="between" showDropDown="false" showErrorMessage="false" showInputMessage="false" sqref="O23" type="list">
      <formula1>"YES,NO"</formula1>
      <formula2>0</formula2>
    </dataValidation>
    <dataValidation allowBlank="true" errorStyle="stop" operator="between" showDropDown="false" showErrorMessage="false" showInputMessage="false" sqref="P23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090"/>
    <pageSetUpPr fitToPage="false"/>
  </sheetPr>
  <dimension ref="B1:S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15" min="6" style="0" width="14"/>
    <col collapsed="false" customWidth="true" hidden="false" outlineLevel="0" max="16" min="16" style="0" width="16"/>
    <col collapsed="false" customWidth="true" hidden="false" outlineLevel="0" max="17" min="17" style="0" width="22"/>
    <col collapsed="false" customWidth="true" hidden="false" outlineLevel="0" max="18" min="18" style="0" width="20"/>
  </cols>
  <sheetData>
    <row r="1" customFormat="false" ht="7.5" hidden="false" customHeight="true" outlineLevel="0" collapsed="false"/>
    <row r="2" customFormat="false" ht="42" hidden="false" customHeight="true" outlineLevel="0" collapsed="false">
      <c r="B2" s="35" t="s">
        <v>146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</row>
    <row r="3" customFormat="false" ht="7.5" hidden="false" customHeight="true" outlineLevel="0" collapsed="false"/>
    <row r="4" customFormat="false" ht="36" hidden="false" customHeight="true" outlineLevel="0" collapsed="false">
      <c r="B4" s="36" t="s">
        <v>28</v>
      </c>
      <c r="C4" s="36" t="s">
        <v>29</v>
      </c>
      <c r="D4" s="36" t="s">
        <v>30</v>
      </c>
      <c r="E4" s="36" t="s">
        <v>31</v>
      </c>
      <c r="F4" s="36" t="s">
        <v>32</v>
      </c>
      <c r="G4" s="36" t="s">
        <v>33</v>
      </c>
      <c r="H4" s="36" t="s">
        <v>34</v>
      </c>
      <c r="I4" s="36" t="s">
        <v>13</v>
      </c>
      <c r="J4" s="36" t="s">
        <v>15</v>
      </c>
      <c r="K4" s="36" t="s">
        <v>35</v>
      </c>
      <c r="L4" s="36" t="s">
        <v>36</v>
      </c>
      <c r="M4" s="36" t="s">
        <v>17</v>
      </c>
      <c r="N4" s="36" t="s">
        <v>37</v>
      </c>
      <c r="O4" s="36" t="s">
        <v>19</v>
      </c>
      <c r="P4" s="36" t="s">
        <v>38</v>
      </c>
      <c r="Q4" s="36" t="s">
        <v>39</v>
      </c>
      <c r="R4" s="36" t="s">
        <v>40</v>
      </c>
      <c r="S4" s="36" t="s">
        <v>41</v>
      </c>
    </row>
    <row r="5" customFormat="false" ht="21.75" hidden="false" customHeight="true" outlineLevel="0" collapsed="false">
      <c r="B5" s="37" t="n">
        <v>1</v>
      </c>
      <c r="C5" s="14" t="s">
        <v>147</v>
      </c>
      <c r="D5" s="15" t="s">
        <v>54</v>
      </c>
      <c r="E5" s="15" t="s">
        <v>77</v>
      </c>
      <c r="F5" s="38" t="s">
        <v>4</v>
      </c>
      <c r="G5" s="15" t="s">
        <v>46</v>
      </c>
      <c r="H5" s="15" t="s">
        <v>46</v>
      </c>
      <c r="I5" s="15" t="s">
        <v>45</v>
      </c>
      <c r="J5" s="15" t="s">
        <v>45</v>
      </c>
      <c r="K5" s="15" t="s">
        <v>46</v>
      </c>
      <c r="L5" s="15" t="s">
        <v>46</v>
      </c>
      <c r="M5" s="15" t="s">
        <v>46</v>
      </c>
      <c r="N5" s="15" t="s">
        <v>46</v>
      </c>
      <c r="O5" s="15" t="s">
        <v>45</v>
      </c>
      <c r="P5" s="15" t="s">
        <v>46</v>
      </c>
      <c r="Q5" s="39" t="n">
        <f aca="false">COUNTIF(G5:P5,"YES")</f>
        <v>3</v>
      </c>
      <c r="R5" s="40"/>
      <c r="S5" s="15"/>
    </row>
    <row r="6" customFormat="false" ht="21.75" hidden="false" customHeight="true" outlineLevel="0" collapsed="false">
      <c r="B6" s="41" t="n">
        <v>2</v>
      </c>
      <c r="C6" s="4" t="s">
        <v>148</v>
      </c>
      <c r="D6" s="5" t="s">
        <v>51</v>
      </c>
      <c r="E6" s="5" t="s">
        <v>98</v>
      </c>
      <c r="F6" s="38" t="s">
        <v>7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45</v>
      </c>
      <c r="L6" s="5" t="s">
        <v>45</v>
      </c>
      <c r="M6" s="5" t="s">
        <v>46</v>
      </c>
      <c r="N6" s="5" t="s">
        <v>46</v>
      </c>
      <c r="O6" s="5" t="s">
        <v>46</v>
      </c>
      <c r="P6" s="5" t="s">
        <v>46</v>
      </c>
      <c r="Q6" s="39" t="n">
        <f aca="false">COUNTIF(G6:P6,"YES")</f>
        <v>2</v>
      </c>
      <c r="R6" s="42"/>
      <c r="S6" s="5"/>
    </row>
    <row r="7" customFormat="false" ht="21.75" hidden="false" customHeight="true" outlineLevel="0" collapsed="false">
      <c r="B7" s="37" t="n">
        <v>3</v>
      </c>
      <c r="C7" s="14" t="s">
        <v>149</v>
      </c>
      <c r="D7" s="15" t="s">
        <v>74</v>
      </c>
      <c r="E7" s="15" t="s">
        <v>49</v>
      </c>
      <c r="F7" s="38" t="s">
        <v>4</v>
      </c>
      <c r="G7" s="15" t="s">
        <v>46</v>
      </c>
      <c r="H7" s="15" t="s">
        <v>45</v>
      </c>
      <c r="I7" s="15" t="s">
        <v>46</v>
      </c>
      <c r="J7" s="15" t="s">
        <v>46</v>
      </c>
      <c r="K7" s="15" t="s">
        <v>46</v>
      </c>
      <c r="L7" s="15" t="s">
        <v>45</v>
      </c>
      <c r="M7" s="15" t="s">
        <v>46</v>
      </c>
      <c r="N7" s="15" t="s">
        <v>46</v>
      </c>
      <c r="O7" s="15" t="s">
        <v>45</v>
      </c>
      <c r="P7" s="15" t="s">
        <v>46</v>
      </c>
      <c r="Q7" s="39" t="n">
        <f aca="false">COUNTIF(G7:P7,"YES")</f>
        <v>3</v>
      </c>
      <c r="R7" s="40"/>
      <c r="S7" s="15"/>
    </row>
    <row r="8" customFormat="false" ht="21.75" hidden="false" customHeight="true" outlineLevel="0" collapsed="false">
      <c r="B8" s="41" t="n">
        <v>4</v>
      </c>
      <c r="C8" s="4" t="s">
        <v>150</v>
      </c>
      <c r="D8" s="5" t="s">
        <v>51</v>
      </c>
      <c r="E8" s="5" t="s">
        <v>151</v>
      </c>
      <c r="F8" s="38" t="s">
        <v>5</v>
      </c>
      <c r="G8" s="5" t="s">
        <v>46</v>
      </c>
      <c r="H8" s="5" t="s">
        <v>46</v>
      </c>
      <c r="I8" s="5" t="s">
        <v>46</v>
      </c>
      <c r="J8" s="5" t="s">
        <v>46</v>
      </c>
      <c r="K8" s="5" t="s">
        <v>46</v>
      </c>
      <c r="L8" s="5" t="s">
        <v>45</v>
      </c>
      <c r="M8" s="5" t="s">
        <v>45</v>
      </c>
      <c r="N8" s="5" t="s">
        <v>46</v>
      </c>
      <c r="O8" s="5" t="s">
        <v>46</v>
      </c>
      <c r="P8" s="5" t="s">
        <v>45</v>
      </c>
      <c r="Q8" s="39" t="n">
        <f aca="false">COUNTIF(G8:P8,"YES")</f>
        <v>3</v>
      </c>
      <c r="R8" s="42"/>
      <c r="S8" s="5"/>
    </row>
    <row r="9" customFormat="false" ht="21.75" hidden="false" customHeight="true" outlineLevel="0" collapsed="false">
      <c r="B9" s="37" t="n">
        <v>5</v>
      </c>
      <c r="C9" s="14" t="s">
        <v>152</v>
      </c>
      <c r="D9" s="15" t="s">
        <v>43</v>
      </c>
      <c r="E9" s="15" t="s">
        <v>111</v>
      </c>
      <c r="F9" s="38" t="s">
        <v>7</v>
      </c>
      <c r="G9" s="15" t="s">
        <v>45</v>
      </c>
      <c r="H9" s="15" t="s">
        <v>45</v>
      </c>
      <c r="I9" s="15" t="s">
        <v>46</v>
      </c>
      <c r="J9" s="15" t="s">
        <v>45</v>
      </c>
      <c r="K9" s="15" t="s">
        <v>45</v>
      </c>
      <c r="L9" s="15" t="s">
        <v>46</v>
      </c>
      <c r="M9" s="15" t="s">
        <v>46</v>
      </c>
      <c r="N9" s="15" t="s">
        <v>45</v>
      </c>
      <c r="O9" s="15" t="s">
        <v>46</v>
      </c>
      <c r="P9" s="15" t="s">
        <v>46</v>
      </c>
      <c r="Q9" s="39" t="n">
        <f aca="false">COUNTIF(G9:P9,"YES")</f>
        <v>5</v>
      </c>
      <c r="R9" s="40"/>
      <c r="S9" s="15"/>
    </row>
    <row r="10" customFormat="false" ht="21.75" hidden="false" customHeight="true" outlineLevel="0" collapsed="false">
      <c r="B10" s="41" t="n">
        <v>6</v>
      </c>
      <c r="C10" s="4" t="s">
        <v>153</v>
      </c>
      <c r="D10" s="5" t="s">
        <v>65</v>
      </c>
      <c r="E10" s="5" t="s">
        <v>144</v>
      </c>
      <c r="F10" s="38" t="s">
        <v>7</v>
      </c>
      <c r="G10" s="5" t="s">
        <v>45</v>
      </c>
      <c r="H10" s="5" t="s">
        <v>45</v>
      </c>
      <c r="I10" s="5" t="s">
        <v>46</v>
      </c>
      <c r="J10" s="5" t="s">
        <v>46</v>
      </c>
      <c r="K10" s="5" t="s">
        <v>46</v>
      </c>
      <c r="L10" s="5" t="s">
        <v>46</v>
      </c>
      <c r="M10" s="5" t="s">
        <v>46</v>
      </c>
      <c r="N10" s="5" t="s">
        <v>46</v>
      </c>
      <c r="O10" s="5" t="s">
        <v>46</v>
      </c>
      <c r="P10" s="5" t="s">
        <v>45</v>
      </c>
      <c r="Q10" s="39" t="n">
        <f aca="false">COUNTIF(G10:P10,"YES")</f>
        <v>3</v>
      </c>
      <c r="R10" s="42"/>
      <c r="S10" s="5"/>
    </row>
    <row r="11" customFormat="false" ht="21.75" hidden="false" customHeight="true" outlineLevel="0" collapsed="false">
      <c r="B11" s="37" t="n">
        <v>7</v>
      </c>
      <c r="C11" s="14" t="s">
        <v>154</v>
      </c>
      <c r="D11" s="15" t="s">
        <v>51</v>
      </c>
      <c r="E11" s="15" t="s">
        <v>83</v>
      </c>
      <c r="F11" s="38" t="s">
        <v>7</v>
      </c>
      <c r="G11" s="15" t="s">
        <v>45</v>
      </c>
      <c r="H11" s="15" t="s">
        <v>46</v>
      </c>
      <c r="I11" s="15" t="s">
        <v>46</v>
      </c>
      <c r="J11" s="15" t="s">
        <v>45</v>
      </c>
      <c r="K11" s="15" t="s">
        <v>45</v>
      </c>
      <c r="L11" s="15" t="s">
        <v>46</v>
      </c>
      <c r="M11" s="15" t="s">
        <v>46</v>
      </c>
      <c r="N11" s="15" t="s">
        <v>46</v>
      </c>
      <c r="O11" s="15" t="s">
        <v>46</v>
      </c>
      <c r="P11" s="15" t="s">
        <v>46</v>
      </c>
      <c r="Q11" s="39" t="n">
        <f aca="false">COUNTIF(G11:P11,"YES")</f>
        <v>3</v>
      </c>
      <c r="R11" s="40"/>
      <c r="S11" s="15"/>
    </row>
    <row r="12" customFormat="false" ht="21.75" hidden="false" customHeight="true" outlineLevel="0" collapsed="false">
      <c r="B12" s="41" t="n">
        <v>8</v>
      </c>
      <c r="C12" s="4" t="s">
        <v>155</v>
      </c>
      <c r="D12" s="5" t="s">
        <v>65</v>
      </c>
      <c r="E12" s="5" t="s">
        <v>142</v>
      </c>
      <c r="F12" s="38" t="s">
        <v>6</v>
      </c>
      <c r="G12" s="5" t="s">
        <v>46</v>
      </c>
      <c r="H12" s="5" t="s">
        <v>46</v>
      </c>
      <c r="I12" s="5" t="s">
        <v>46</v>
      </c>
      <c r="J12" s="5" t="s">
        <v>45</v>
      </c>
      <c r="K12" s="5" t="s">
        <v>46</v>
      </c>
      <c r="L12" s="5" t="s">
        <v>46</v>
      </c>
      <c r="M12" s="5" t="s">
        <v>46</v>
      </c>
      <c r="N12" s="5" t="s">
        <v>46</v>
      </c>
      <c r="O12" s="5" t="s">
        <v>46</v>
      </c>
      <c r="P12" s="5" t="s">
        <v>46</v>
      </c>
      <c r="Q12" s="39" t="n">
        <f aca="false">COUNTIF(G12:P12,"YES")</f>
        <v>1</v>
      </c>
      <c r="R12" s="42"/>
      <c r="S12" s="5"/>
    </row>
    <row r="13" customFormat="false" ht="21.75" hidden="false" customHeight="true" outlineLevel="0" collapsed="false">
      <c r="B13" s="37" t="n">
        <v>9</v>
      </c>
      <c r="C13" s="14" t="s">
        <v>156</v>
      </c>
      <c r="D13" s="15" t="s">
        <v>48</v>
      </c>
      <c r="E13" s="15" t="s">
        <v>157</v>
      </c>
      <c r="F13" s="38" t="s">
        <v>6</v>
      </c>
      <c r="G13" s="15" t="s">
        <v>45</v>
      </c>
      <c r="H13" s="15" t="s">
        <v>45</v>
      </c>
      <c r="I13" s="15" t="s">
        <v>46</v>
      </c>
      <c r="J13" s="15" t="s">
        <v>46</v>
      </c>
      <c r="K13" s="15" t="s">
        <v>45</v>
      </c>
      <c r="L13" s="15" t="s">
        <v>46</v>
      </c>
      <c r="M13" s="15" t="s">
        <v>45</v>
      </c>
      <c r="N13" s="15" t="s">
        <v>46</v>
      </c>
      <c r="O13" s="15" t="s">
        <v>46</v>
      </c>
      <c r="P13" s="15" t="s">
        <v>46</v>
      </c>
      <c r="Q13" s="39" t="n">
        <f aca="false">COUNTIF(G13:P13,"YES")</f>
        <v>4</v>
      </c>
      <c r="R13" s="40"/>
      <c r="S13" s="15"/>
    </row>
    <row r="14" customFormat="false" ht="21.75" hidden="false" customHeight="true" outlineLevel="0" collapsed="false">
      <c r="B14" s="41" t="n">
        <v>10</v>
      </c>
      <c r="C14" s="4" t="s">
        <v>158</v>
      </c>
      <c r="D14" s="5" t="s">
        <v>51</v>
      </c>
      <c r="E14" s="5" t="s">
        <v>81</v>
      </c>
      <c r="F14" s="38" t="s">
        <v>4</v>
      </c>
      <c r="G14" s="5" t="s">
        <v>45</v>
      </c>
      <c r="H14" s="5" t="s">
        <v>46</v>
      </c>
      <c r="I14" s="5" t="s">
        <v>46</v>
      </c>
      <c r="J14" s="5" t="s">
        <v>46</v>
      </c>
      <c r="K14" s="5" t="s">
        <v>45</v>
      </c>
      <c r="L14" s="5" t="s">
        <v>46</v>
      </c>
      <c r="M14" s="5" t="s">
        <v>45</v>
      </c>
      <c r="N14" s="5" t="s">
        <v>46</v>
      </c>
      <c r="O14" s="5" t="s">
        <v>46</v>
      </c>
      <c r="P14" s="5" t="s">
        <v>45</v>
      </c>
      <c r="Q14" s="39" t="n">
        <f aca="false">COUNTIF(G14:P14,"YES")</f>
        <v>4</v>
      </c>
      <c r="R14" s="42"/>
      <c r="S14" s="5"/>
    </row>
    <row r="15" customFormat="false" ht="21.75" hidden="false" customHeight="true" outlineLevel="0" collapsed="false">
      <c r="B15" s="37" t="n">
        <v>11</v>
      </c>
      <c r="C15" s="14" t="s">
        <v>159</v>
      </c>
      <c r="D15" s="15" t="s">
        <v>74</v>
      </c>
      <c r="E15" s="15" t="s">
        <v>160</v>
      </c>
      <c r="F15" s="38" t="s">
        <v>5</v>
      </c>
      <c r="G15" s="15" t="s">
        <v>45</v>
      </c>
      <c r="H15" s="15" t="s">
        <v>46</v>
      </c>
      <c r="I15" s="15" t="s">
        <v>46</v>
      </c>
      <c r="J15" s="15" t="s">
        <v>46</v>
      </c>
      <c r="K15" s="15" t="s">
        <v>46</v>
      </c>
      <c r="L15" s="15" t="s">
        <v>46</v>
      </c>
      <c r="M15" s="15" t="s">
        <v>45</v>
      </c>
      <c r="N15" s="15" t="s">
        <v>46</v>
      </c>
      <c r="O15" s="15" t="s">
        <v>46</v>
      </c>
      <c r="P15" s="15" t="s">
        <v>46</v>
      </c>
      <c r="Q15" s="39" t="n">
        <f aca="false">COUNTIF(G15:P15,"YES")</f>
        <v>2</v>
      </c>
      <c r="R15" s="40"/>
      <c r="S15" s="15"/>
    </row>
    <row r="16" customFormat="false" ht="21.75" hidden="false" customHeight="true" outlineLevel="0" collapsed="false">
      <c r="B16" s="41" t="n">
        <v>12</v>
      </c>
      <c r="C16" s="4" t="s">
        <v>161</v>
      </c>
      <c r="D16" s="5" t="s">
        <v>43</v>
      </c>
      <c r="E16" s="5" t="s">
        <v>49</v>
      </c>
      <c r="F16" s="38" t="s">
        <v>4</v>
      </c>
      <c r="G16" s="5" t="s">
        <v>46</v>
      </c>
      <c r="H16" s="5" t="s">
        <v>45</v>
      </c>
      <c r="I16" s="5" t="s">
        <v>45</v>
      </c>
      <c r="J16" s="5" t="s">
        <v>46</v>
      </c>
      <c r="K16" s="5" t="s">
        <v>45</v>
      </c>
      <c r="L16" s="5" t="s">
        <v>45</v>
      </c>
      <c r="M16" s="5" t="s">
        <v>46</v>
      </c>
      <c r="N16" s="5" t="s">
        <v>45</v>
      </c>
      <c r="O16" s="5" t="s">
        <v>45</v>
      </c>
      <c r="P16" s="5" t="s">
        <v>46</v>
      </c>
      <c r="Q16" s="39" t="n">
        <f aca="false">COUNTIF(G16:P16,"YES")</f>
        <v>6</v>
      </c>
      <c r="R16" s="42"/>
      <c r="S16" s="5"/>
    </row>
    <row r="17" customFormat="false" ht="21.75" hidden="false" customHeight="true" outlineLevel="0" collapsed="false">
      <c r="B17" s="37" t="n">
        <v>13</v>
      </c>
      <c r="C17" s="14" t="s">
        <v>162</v>
      </c>
      <c r="D17" s="15" t="s">
        <v>54</v>
      </c>
      <c r="E17" s="15" t="s">
        <v>163</v>
      </c>
      <c r="F17" s="38" t="s">
        <v>4</v>
      </c>
      <c r="G17" s="15" t="s">
        <v>46</v>
      </c>
      <c r="H17" s="15" t="s">
        <v>45</v>
      </c>
      <c r="I17" s="15" t="s">
        <v>46</v>
      </c>
      <c r="J17" s="15" t="s">
        <v>46</v>
      </c>
      <c r="K17" s="15" t="s">
        <v>46</v>
      </c>
      <c r="L17" s="15" t="s">
        <v>46</v>
      </c>
      <c r="M17" s="15" t="s">
        <v>45</v>
      </c>
      <c r="N17" s="15" t="s">
        <v>45</v>
      </c>
      <c r="O17" s="15" t="s">
        <v>46</v>
      </c>
      <c r="P17" s="15" t="s">
        <v>46</v>
      </c>
      <c r="Q17" s="39" t="n">
        <f aca="false">COUNTIF(G17:P17,"YES")</f>
        <v>3</v>
      </c>
      <c r="R17" s="40"/>
      <c r="S17" s="15"/>
    </row>
    <row r="18" customFormat="false" ht="21.75" hidden="false" customHeight="true" outlineLevel="0" collapsed="false">
      <c r="B18" s="41" t="n">
        <v>14</v>
      </c>
      <c r="C18" s="4" t="s">
        <v>164</v>
      </c>
      <c r="D18" s="5" t="s">
        <v>48</v>
      </c>
      <c r="E18" s="5" t="s">
        <v>44</v>
      </c>
      <c r="F18" s="38" t="s">
        <v>5</v>
      </c>
      <c r="G18" s="5" t="s">
        <v>45</v>
      </c>
      <c r="H18" s="5" t="s">
        <v>46</v>
      </c>
      <c r="I18" s="5" t="s">
        <v>46</v>
      </c>
      <c r="J18" s="5" t="s">
        <v>46</v>
      </c>
      <c r="K18" s="5" t="s">
        <v>45</v>
      </c>
      <c r="L18" s="5" t="s">
        <v>46</v>
      </c>
      <c r="M18" s="5" t="s">
        <v>46</v>
      </c>
      <c r="N18" s="5" t="s">
        <v>45</v>
      </c>
      <c r="O18" s="5" t="s">
        <v>45</v>
      </c>
      <c r="P18" s="5" t="s">
        <v>46</v>
      </c>
      <c r="Q18" s="39" t="n">
        <f aca="false">COUNTIF(G18:P18,"YES")</f>
        <v>4</v>
      </c>
      <c r="R18" s="42"/>
      <c r="S18" s="5"/>
    </row>
    <row r="19" customFormat="false" ht="21.75" hidden="false" customHeight="true" outlineLevel="0" collapsed="false">
      <c r="B19" s="37" t="n">
        <v>15</v>
      </c>
      <c r="C19" s="14" t="s">
        <v>165</v>
      </c>
      <c r="D19" s="15" t="s">
        <v>74</v>
      </c>
      <c r="E19" s="15" t="s">
        <v>166</v>
      </c>
      <c r="F19" s="38" t="s">
        <v>6</v>
      </c>
      <c r="G19" s="15" t="s">
        <v>45</v>
      </c>
      <c r="H19" s="15" t="s">
        <v>46</v>
      </c>
      <c r="I19" s="15" t="s">
        <v>46</v>
      </c>
      <c r="J19" s="15" t="s">
        <v>46</v>
      </c>
      <c r="K19" s="15" t="s">
        <v>45</v>
      </c>
      <c r="L19" s="15" t="s">
        <v>45</v>
      </c>
      <c r="M19" s="15" t="s">
        <v>46</v>
      </c>
      <c r="N19" s="15" t="s">
        <v>46</v>
      </c>
      <c r="O19" s="15" t="s">
        <v>46</v>
      </c>
      <c r="P19" s="15" t="s">
        <v>46</v>
      </c>
      <c r="Q19" s="39" t="n">
        <f aca="false">COUNTIF(G19:P19,"YES")</f>
        <v>3</v>
      </c>
      <c r="R19" s="40"/>
      <c r="S19" s="15"/>
    </row>
    <row r="20" customFormat="false" ht="21.75" hidden="false" customHeight="true" outlineLevel="0" collapsed="false">
      <c r="B20" s="41" t="n">
        <v>16</v>
      </c>
      <c r="C20" s="4" t="s">
        <v>167</v>
      </c>
      <c r="D20" s="5" t="s">
        <v>74</v>
      </c>
      <c r="E20" s="5" t="s">
        <v>111</v>
      </c>
      <c r="F20" s="38" t="s">
        <v>6</v>
      </c>
      <c r="G20" s="5" t="s">
        <v>46</v>
      </c>
      <c r="H20" s="5" t="s">
        <v>46</v>
      </c>
      <c r="I20" s="5" t="s">
        <v>45</v>
      </c>
      <c r="J20" s="5" t="s">
        <v>46</v>
      </c>
      <c r="K20" s="5" t="s">
        <v>46</v>
      </c>
      <c r="L20" s="5" t="s">
        <v>45</v>
      </c>
      <c r="M20" s="5" t="s">
        <v>45</v>
      </c>
      <c r="N20" s="5" t="s">
        <v>46</v>
      </c>
      <c r="O20" s="5" t="s">
        <v>46</v>
      </c>
      <c r="P20" s="5" t="s">
        <v>46</v>
      </c>
      <c r="Q20" s="39" t="n">
        <f aca="false">COUNTIF(G20:P20,"YES")</f>
        <v>3</v>
      </c>
      <c r="R20" s="42"/>
      <c r="S20" s="5"/>
    </row>
    <row r="21" customFormat="false" ht="21.75" hidden="false" customHeight="true" outlineLevel="0" collapsed="false">
      <c r="B21" s="37" t="n">
        <v>17</v>
      </c>
      <c r="C21" s="14" t="s">
        <v>168</v>
      </c>
      <c r="D21" s="15" t="s">
        <v>48</v>
      </c>
      <c r="E21" s="15" t="s">
        <v>142</v>
      </c>
      <c r="F21" s="38" t="s">
        <v>6</v>
      </c>
      <c r="G21" s="15" t="s">
        <v>45</v>
      </c>
      <c r="H21" s="15" t="s">
        <v>46</v>
      </c>
      <c r="I21" s="15" t="s">
        <v>46</v>
      </c>
      <c r="J21" s="15" t="s">
        <v>45</v>
      </c>
      <c r="K21" s="15" t="s">
        <v>46</v>
      </c>
      <c r="L21" s="15" t="s">
        <v>45</v>
      </c>
      <c r="M21" s="15" t="s">
        <v>46</v>
      </c>
      <c r="N21" s="15" t="s">
        <v>46</v>
      </c>
      <c r="O21" s="15" t="s">
        <v>46</v>
      </c>
      <c r="P21" s="15" t="s">
        <v>45</v>
      </c>
      <c r="Q21" s="39" t="n">
        <f aca="false">COUNTIF(G21:P21,"YES")</f>
        <v>4</v>
      </c>
      <c r="R21" s="40"/>
      <c r="S21" s="15"/>
    </row>
    <row r="22" customFormat="false" ht="21.75" hidden="false" customHeight="true" outlineLevel="0" collapsed="false">
      <c r="B22" s="41" t="n">
        <v>18</v>
      </c>
      <c r="C22" s="4" t="s">
        <v>169</v>
      </c>
      <c r="D22" s="5" t="s">
        <v>48</v>
      </c>
      <c r="E22" s="5" t="s">
        <v>116</v>
      </c>
      <c r="F22" s="38" t="s">
        <v>5</v>
      </c>
      <c r="G22" s="5" t="s">
        <v>46</v>
      </c>
      <c r="H22" s="5" t="s">
        <v>46</v>
      </c>
      <c r="I22" s="5" t="s">
        <v>45</v>
      </c>
      <c r="J22" s="5" t="s">
        <v>45</v>
      </c>
      <c r="K22" s="5" t="s">
        <v>45</v>
      </c>
      <c r="L22" s="5" t="s">
        <v>46</v>
      </c>
      <c r="M22" s="5" t="s">
        <v>46</v>
      </c>
      <c r="N22" s="5" t="s">
        <v>45</v>
      </c>
      <c r="O22" s="5" t="s">
        <v>46</v>
      </c>
      <c r="P22" s="5" t="s">
        <v>46</v>
      </c>
      <c r="Q22" s="39" t="n">
        <f aca="false">COUNTIF(G22:P22,"YES")</f>
        <v>4</v>
      </c>
      <c r="R22" s="42"/>
      <c r="S22" s="5"/>
    </row>
    <row r="23" customFormat="false" ht="21.75" hidden="false" customHeight="true" outlineLevel="0" collapsed="false">
      <c r="B23" s="37" t="n">
        <v>19</v>
      </c>
      <c r="C23" s="14" t="s">
        <v>170</v>
      </c>
      <c r="D23" s="15" t="s">
        <v>74</v>
      </c>
      <c r="E23" s="15" t="s">
        <v>144</v>
      </c>
      <c r="F23" s="38" t="s">
        <v>6</v>
      </c>
      <c r="G23" s="15" t="s">
        <v>46</v>
      </c>
      <c r="H23" s="15" t="s">
        <v>46</v>
      </c>
      <c r="I23" s="15" t="s">
        <v>45</v>
      </c>
      <c r="J23" s="15" t="s">
        <v>45</v>
      </c>
      <c r="K23" s="15" t="s">
        <v>45</v>
      </c>
      <c r="L23" s="15" t="s">
        <v>46</v>
      </c>
      <c r="M23" s="15" t="s">
        <v>46</v>
      </c>
      <c r="N23" s="15" t="s">
        <v>46</v>
      </c>
      <c r="O23" s="15" t="s">
        <v>46</v>
      </c>
      <c r="P23" s="15" t="s">
        <v>46</v>
      </c>
      <c r="Q23" s="39" t="n">
        <f aca="false">COUNTIF(G23:P23,"YES")</f>
        <v>3</v>
      </c>
      <c r="R23" s="40"/>
      <c r="S23" s="15"/>
    </row>
  </sheetData>
  <mergeCells count="1">
    <mergeCell ref="B2:R2"/>
  </mergeCells>
  <conditionalFormatting sqref="F5:F23">
    <cfRule type="containsText" priority="2" operator="containsText" aboveAverage="0" equalAverage="0" bottom="0" percent="0" rank="0" text="GREEN" dxfId="0">
      <formula>NOT(ISERROR(SEARCH("GREEN",F5)))</formula>
    </cfRule>
    <cfRule type="containsText" priority="3" operator="containsText" aboveAverage="0" equalAverage="0" bottom="0" percent="0" rank="0" text="YELLOW" dxfId="1">
      <formula>NOT(ISERROR(SEARCH("YELLOW",F5)))</formula>
    </cfRule>
    <cfRule type="containsText" priority="4" operator="containsText" aboveAverage="0" equalAverage="0" bottom="0" percent="0" rank="0" text="RED" dxfId="2">
      <formula>NOT(ISERROR(SEARCH("RED",F5)))</formula>
    </cfRule>
    <cfRule type="containsText" priority="5" operator="containsText" aboveAverage="0" equalAverage="0" bottom="0" percent="0" rank="0" text="BLACK" dxfId="3">
      <formula>NOT(ISERROR(SEARCH("BLACK",F5)))</formula>
    </cfRule>
  </conditionalFormatting>
  <conditionalFormatting sqref="Q5:Q23">
    <cfRule type="cellIs" priority="6" operator="between" aboveAverage="0" equalAverage="0" bottom="0" percent="0" rank="0" text="" dxfId="0">
      <formula>0</formula>
      <formula>2</formula>
    </cfRule>
    <cfRule type="cellIs" priority="7" operator="between" aboveAverage="0" equalAverage="0" bottom="0" percent="0" rank="0" text="" dxfId="1">
      <formula>3</formula>
      <formula>5</formula>
    </cfRule>
    <cfRule type="cellIs" priority="8" operator="between" aboveAverage="0" equalAverage="0" bottom="0" percent="0" rank="0" text="" dxfId="2">
      <formula>6</formula>
      <formula>8</formula>
    </cfRule>
    <cfRule type="cellIs" priority="9" operator="between" aboveAverage="0" equalAverage="0" bottom="0" percent="0" rank="0" text="" dxfId="3">
      <formula>9</formula>
      <formula>99</formula>
    </cfRule>
  </conditionalFormatting>
  <dataValidations count="191">
    <dataValidation allowBlank="true" error="Please select a valid status." errorStyle="stop" errorTitle="Invalid Entry" operator="between" showDropDown="false" showErrorMessage="true" showInputMessage="false" sqref="F5:F23" type="list">
      <formula1>"🟢 GREEN,🟡 YELLOW,🔴 RED,⚫ BLACK"</formula1>
      <formula2>0</formula2>
    </dataValidation>
    <dataValidation allowBlank="true" errorStyle="stop" operator="between" showDropDown="false" showErrorMessage="false" showInputMessage="false" sqref="G5" type="list">
      <formula1>"YES,NO"</formula1>
      <formula2>0</formula2>
    </dataValidation>
    <dataValidation allowBlank="true" errorStyle="stop" operator="between" showDropDown="false" showErrorMessage="false" showInputMessage="false" sqref="H5" type="list">
      <formula1>"YES,NO"</formula1>
      <formula2>0</formula2>
    </dataValidation>
    <dataValidation allowBlank="true" errorStyle="stop" operator="between" showDropDown="false" showErrorMessage="false" showInputMessage="false" sqref="I5" type="list">
      <formula1>"YES,NO"</formula1>
      <formula2>0</formula2>
    </dataValidation>
    <dataValidation allowBlank="true" errorStyle="stop" operator="between" showDropDown="false" showErrorMessage="false" showInputMessage="false" sqref="J5" type="list">
      <formula1>"YES,NO"</formula1>
      <formula2>0</formula2>
    </dataValidation>
    <dataValidation allowBlank="true" errorStyle="stop" operator="between" showDropDown="false" showErrorMessage="false" showInputMessage="false" sqref="K5" type="list">
      <formula1>"YES,NO"</formula1>
      <formula2>0</formula2>
    </dataValidation>
    <dataValidation allowBlank="true" errorStyle="stop" operator="between" showDropDown="false" showErrorMessage="false" showInputMessage="false" sqref="L5" type="list">
      <formula1>"YES,NO"</formula1>
      <formula2>0</formula2>
    </dataValidation>
    <dataValidation allowBlank="true" errorStyle="stop" operator="between" showDropDown="false" showErrorMessage="false" showInputMessage="false" sqref="M5" type="list">
      <formula1>"YES,NO"</formula1>
      <formula2>0</formula2>
    </dataValidation>
    <dataValidation allowBlank="true" errorStyle="stop" operator="between" showDropDown="false" showErrorMessage="false" showInputMessage="false" sqref="N5" type="list">
      <formula1>"YES,NO"</formula1>
      <formula2>0</formula2>
    </dataValidation>
    <dataValidation allowBlank="true" errorStyle="stop" operator="between" showDropDown="false" showErrorMessage="false" showInputMessage="false" sqref="O5" type="list">
      <formula1>"YES,NO"</formula1>
      <formula2>0</formula2>
    </dataValidation>
    <dataValidation allowBlank="true" errorStyle="stop" operator="between" showDropDown="false" showErrorMessage="false" showInputMessage="false" sqref="P5" type="list">
      <formula1>"YES,NO"</formula1>
      <formula2>0</formula2>
    </dataValidation>
    <dataValidation allowBlank="true" errorStyle="stop" operator="between" showDropDown="false" showErrorMessage="false" showInputMessage="false" sqref="G6" type="list">
      <formula1>"YES,NO"</formula1>
      <formula2>0</formula2>
    </dataValidation>
    <dataValidation allowBlank="true" errorStyle="stop" operator="between" showDropDown="false" showErrorMessage="false" showInputMessage="false" sqref="H6" type="list">
      <formula1>"YES,NO"</formula1>
      <formula2>0</formula2>
    </dataValidation>
    <dataValidation allowBlank="true" errorStyle="stop" operator="between" showDropDown="false" showErrorMessage="false" showInputMessage="false" sqref="I6" type="list">
      <formula1>"YES,NO"</formula1>
      <formula2>0</formula2>
    </dataValidation>
    <dataValidation allowBlank="true" errorStyle="stop" operator="between" showDropDown="false" showErrorMessage="false" showInputMessage="false" sqref="J6" type="list">
      <formula1>"YES,NO"</formula1>
      <formula2>0</formula2>
    </dataValidation>
    <dataValidation allowBlank="true" errorStyle="stop" operator="between" showDropDown="false" showErrorMessage="false" showInputMessage="false" sqref="K6" type="list">
      <formula1>"YES,NO"</formula1>
      <formula2>0</formula2>
    </dataValidation>
    <dataValidation allowBlank="true" errorStyle="stop" operator="between" showDropDown="false" showErrorMessage="false" showInputMessage="false" sqref="L6" type="list">
      <formula1>"YES,NO"</formula1>
      <formula2>0</formula2>
    </dataValidation>
    <dataValidation allowBlank="true" errorStyle="stop" operator="between" showDropDown="false" showErrorMessage="false" showInputMessage="false" sqref="M6" type="list">
      <formula1>"YES,NO"</formula1>
      <formula2>0</formula2>
    </dataValidation>
    <dataValidation allowBlank="true" errorStyle="stop" operator="between" showDropDown="false" showErrorMessage="false" showInputMessage="false" sqref="N6" type="list">
      <formula1>"YES,NO"</formula1>
      <formula2>0</formula2>
    </dataValidation>
    <dataValidation allowBlank="true" errorStyle="stop" operator="between" showDropDown="false" showErrorMessage="false" showInputMessage="false" sqref="O6" type="list">
      <formula1>"YES,NO"</formula1>
      <formula2>0</formula2>
    </dataValidation>
    <dataValidation allowBlank="true" errorStyle="stop" operator="between" showDropDown="false" showErrorMessage="false" showInputMessage="false" sqref="P6" type="list">
      <formula1>"YES,NO"</formula1>
      <formula2>0</formula2>
    </dataValidation>
    <dataValidation allowBlank="true" errorStyle="stop" operator="between" showDropDown="false" showErrorMessage="false" showInputMessage="false" sqref="G7" type="list">
      <formula1>"YES,NO"</formula1>
      <formula2>0</formula2>
    </dataValidation>
    <dataValidation allowBlank="true" errorStyle="stop" operator="between" showDropDown="false" showErrorMessage="false" showInputMessage="false" sqref="H7" type="list">
      <formula1>"YES,NO"</formula1>
      <formula2>0</formula2>
    </dataValidation>
    <dataValidation allowBlank="true" errorStyle="stop" operator="between" showDropDown="false" showErrorMessage="false" showInputMessage="false" sqref="I7" type="list">
      <formula1>"YES,NO"</formula1>
      <formula2>0</formula2>
    </dataValidation>
    <dataValidation allowBlank="true" errorStyle="stop" operator="between" showDropDown="false" showErrorMessage="false" showInputMessage="false" sqref="J7" type="list">
      <formula1>"YES,NO"</formula1>
      <formula2>0</formula2>
    </dataValidation>
    <dataValidation allowBlank="true" errorStyle="stop" operator="between" showDropDown="false" showErrorMessage="false" showInputMessage="false" sqref="K7" type="list">
      <formula1>"YES,NO"</formula1>
      <formula2>0</formula2>
    </dataValidation>
    <dataValidation allowBlank="true" errorStyle="stop" operator="between" showDropDown="false" showErrorMessage="false" showInputMessage="false" sqref="L7" type="list">
      <formula1>"YES,NO"</formula1>
      <formula2>0</formula2>
    </dataValidation>
    <dataValidation allowBlank="true" errorStyle="stop" operator="between" showDropDown="false" showErrorMessage="false" showInputMessage="false" sqref="M7" type="list">
      <formula1>"YES,NO"</formula1>
      <formula2>0</formula2>
    </dataValidation>
    <dataValidation allowBlank="true" errorStyle="stop" operator="between" showDropDown="false" showErrorMessage="false" showInputMessage="false" sqref="N7" type="list">
      <formula1>"YES,NO"</formula1>
      <formula2>0</formula2>
    </dataValidation>
    <dataValidation allowBlank="true" errorStyle="stop" operator="between" showDropDown="false" showErrorMessage="false" showInputMessage="false" sqref="O7" type="list">
      <formula1>"YES,NO"</formula1>
      <formula2>0</formula2>
    </dataValidation>
    <dataValidation allowBlank="true" errorStyle="stop" operator="between" showDropDown="false" showErrorMessage="false" showInputMessage="false" sqref="P7" type="list">
      <formula1>"YES,NO"</formula1>
      <formula2>0</formula2>
    </dataValidation>
    <dataValidation allowBlank="true" errorStyle="stop" operator="between" showDropDown="false" showErrorMessage="false" showInputMessage="false" sqref="G8" type="list">
      <formula1>"YES,NO"</formula1>
      <formula2>0</formula2>
    </dataValidation>
    <dataValidation allowBlank="true" errorStyle="stop" operator="between" showDropDown="false" showErrorMessage="false" showInputMessage="false" sqref="H8" type="list">
      <formula1>"YES,NO"</formula1>
      <formula2>0</formula2>
    </dataValidation>
    <dataValidation allowBlank="true" errorStyle="stop" operator="between" showDropDown="false" showErrorMessage="false" showInputMessage="false" sqref="I8" type="list">
      <formula1>"YES,NO"</formula1>
      <formula2>0</formula2>
    </dataValidation>
    <dataValidation allowBlank="true" errorStyle="stop" operator="between" showDropDown="false" showErrorMessage="false" showInputMessage="false" sqref="J8" type="list">
      <formula1>"YES,NO"</formula1>
      <formula2>0</formula2>
    </dataValidation>
    <dataValidation allowBlank="true" errorStyle="stop" operator="between" showDropDown="false" showErrorMessage="false" showInputMessage="false" sqref="K8" type="list">
      <formula1>"YES,NO"</formula1>
      <formula2>0</formula2>
    </dataValidation>
    <dataValidation allowBlank="true" errorStyle="stop" operator="between" showDropDown="false" showErrorMessage="false" showInputMessage="false" sqref="L8" type="list">
      <formula1>"YES,NO"</formula1>
      <formula2>0</formula2>
    </dataValidation>
    <dataValidation allowBlank="true" errorStyle="stop" operator="between" showDropDown="false" showErrorMessage="false" showInputMessage="false" sqref="M8" type="list">
      <formula1>"YES,NO"</formula1>
      <formula2>0</formula2>
    </dataValidation>
    <dataValidation allowBlank="true" errorStyle="stop" operator="between" showDropDown="false" showErrorMessage="false" showInputMessage="false" sqref="N8" type="list">
      <formula1>"YES,NO"</formula1>
      <formula2>0</formula2>
    </dataValidation>
    <dataValidation allowBlank="true" errorStyle="stop" operator="between" showDropDown="false" showErrorMessage="false" showInputMessage="false" sqref="O8" type="list">
      <formula1>"YES,NO"</formula1>
      <formula2>0</formula2>
    </dataValidation>
    <dataValidation allowBlank="true" errorStyle="stop" operator="between" showDropDown="false" showErrorMessage="false" showInputMessage="false" sqref="P8" type="list">
      <formula1>"YES,NO"</formula1>
      <formula2>0</formula2>
    </dataValidation>
    <dataValidation allowBlank="true" errorStyle="stop" operator="between" showDropDown="false" showErrorMessage="false" showInputMessage="false" sqref="G9" type="list">
      <formula1>"YES,NO"</formula1>
      <formula2>0</formula2>
    </dataValidation>
    <dataValidation allowBlank="true" errorStyle="stop" operator="between" showDropDown="false" showErrorMessage="false" showInputMessage="false" sqref="H9" type="list">
      <formula1>"YES,NO"</formula1>
      <formula2>0</formula2>
    </dataValidation>
    <dataValidation allowBlank="true" errorStyle="stop" operator="between" showDropDown="false" showErrorMessage="false" showInputMessage="false" sqref="I9" type="list">
      <formula1>"YES,NO"</formula1>
      <formula2>0</formula2>
    </dataValidation>
    <dataValidation allowBlank="true" errorStyle="stop" operator="between" showDropDown="false" showErrorMessage="false" showInputMessage="false" sqref="J9" type="list">
      <formula1>"YES,NO"</formula1>
      <formula2>0</formula2>
    </dataValidation>
    <dataValidation allowBlank="true" errorStyle="stop" operator="between" showDropDown="false" showErrorMessage="false" showInputMessage="false" sqref="K9" type="list">
      <formula1>"YES,NO"</formula1>
      <formula2>0</formula2>
    </dataValidation>
    <dataValidation allowBlank="true" errorStyle="stop" operator="between" showDropDown="false" showErrorMessage="false" showInputMessage="false" sqref="L9" type="list">
      <formula1>"YES,NO"</formula1>
      <formula2>0</formula2>
    </dataValidation>
    <dataValidation allowBlank="true" errorStyle="stop" operator="between" showDropDown="false" showErrorMessage="false" showInputMessage="false" sqref="M9" type="list">
      <formula1>"YES,NO"</formula1>
      <formula2>0</formula2>
    </dataValidation>
    <dataValidation allowBlank="true" errorStyle="stop" operator="between" showDropDown="false" showErrorMessage="false" showInputMessage="false" sqref="N9" type="list">
      <formula1>"YES,NO"</formula1>
      <formula2>0</formula2>
    </dataValidation>
    <dataValidation allowBlank="true" errorStyle="stop" operator="between" showDropDown="false" showErrorMessage="false" showInputMessage="false" sqref="O9" type="list">
      <formula1>"YES,NO"</formula1>
      <formula2>0</formula2>
    </dataValidation>
    <dataValidation allowBlank="true" errorStyle="stop" operator="between" showDropDown="false" showErrorMessage="false" showInputMessage="false" sqref="P9" type="list">
      <formula1>"YES,NO"</formula1>
      <formula2>0</formula2>
    </dataValidation>
    <dataValidation allowBlank="true" errorStyle="stop" operator="between" showDropDown="false" showErrorMessage="false" showInputMessage="false" sqref="G10" type="list">
      <formula1>"YES,NO"</formula1>
      <formula2>0</formula2>
    </dataValidation>
    <dataValidation allowBlank="true" errorStyle="stop" operator="between" showDropDown="false" showErrorMessage="false" showInputMessage="false" sqref="H10" type="list">
      <formula1>"YES,NO"</formula1>
      <formula2>0</formula2>
    </dataValidation>
    <dataValidation allowBlank="true" errorStyle="stop" operator="between" showDropDown="false" showErrorMessage="false" showInputMessage="false" sqref="I10" type="list">
      <formula1>"YES,NO"</formula1>
      <formula2>0</formula2>
    </dataValidation>
    <dataValidation allowBlank="true" errorStyle="stop" operator="between" showDropDown="false" showErrorMessage="false" showInputMessage="false" sqref="J10" type="list">
      <formula1>"YES,NO"</formula1>
      <formula2>0</formula2>
    </dataValidation>
    <dataValidation allowBlank="true" errorStyle="stop" operator="between" showDropDown="false" showErrorMessage="false" showInputMessage="false" sqref="K10" type="list">
      <formula1>"YES,NO"</formula1>
      <formula2>0</formula2>
    </dataValidation>
    <dataValidation allowBlank="true" errorStyle="stop" operator="between" showDropDown="false" showErrorMessage="false" showInputMessage="false" sqref="L10" type="list">
      <formula1>"YES,NO"</formula1>
      <formula2>0</formula2>
    </dataValidation>
    <dataValidation allowBlank="true" errorStyle="stop" operator="between" showDropDown="false" showErrorMessage="false" showInputMessage="false" sqref="M10" type="list">
      <formula1>"YES,NO"</formula1>
      <formula2>0</formula2>
    </dataValidation>
    <dataValidation allowBlank="true" errorStyle="stop" operator="between" showDropDown="false" showErrorMessage="false" showInputMessage="false" sqref="N10" type="list">
      <formula1>"YES,NO"</formula1>
      <formula2>0</formula2>
    </dataValidation>
    <dataValidation allowBlank="true" errorStyle="stop" operator="between" showDropDown="false" showErrorMessage="false" showInputMessage="false" sqref="O10" type="list">
      <formula1>"YES,NO"</formula1>
      <formula2>0</formula2>
    </dataValidation>
    <dataValidation allowBlank="true" errorStyle="stop" operator="between" showDropDown="false" showErrorMessage="false" showInputMessage="false" sqref="P10" type="list">
      <formula1>"YES,NO"</formula1>
      <formula2>0</formula2>
    </dataValidation>
    <dataValidation allowBlank="true" errorStyle="stop" operator="between" showDropDown="false" showErrorMessage="false" showInputMessage="false" sqref="G11" type="list">
      <formula1>"YES,NO"</formula1>
      <formula2>0</formula2>
    </dataValidation>
    <dataValidation allowBlank="true" errorStyle="stop" operator="between" showDropDown="false" showErrorMessage="false" showInputMessage="false" sqref="H11" type="list">
      <formula1>"YES,NO"</formula1>
      <formula2>0</formula2>
    </dataValidation>
    <dataValidation allowBlank="true" errorStyle="stop" operator="between" showDropDown="false" showErrorMessage="false" showInputMessage="false" sqref="I11" type="list">
      <formula1>"YES,NO"</formula1>
      <formula2>0</formula2>
    </dataValidation>
    <dataValidation allowBlank="true" errorStyle="stop" operator="between" showDropDown="false" showErrorMessage="false" showInputMessage="false" sqref="J11" type="list">
      <formula1>"YES,NO"</formula1>
      <formula2>0</formula2>
    </dataValidation>
    <dataValidation allowBlank="true" errorStyle="stop" operator="between" showDropDown="false" showErrorMessage="false" showInputMessage="false" sqref="K11" type="list">
      <formula1>"YES,NO"</formula1>
      <formula2>0</formula2>
    </dataValidation>
    <dataValidation allowBlank="true" errorStyle="stop" operator="between" showDropDown="false" showErrorMessage="false" showInputMessage="false" sqref="L11" type="list">
      <formula1>"YES,NO"</formula1>
      <formula2>0</formula2>
    </dataValidation>
    <dataValidation allowBlank="true" errorStyle="stop" operator="between" showDropDown="false" showErrorMessage="false" showInputMessage="false" sqref="M11" type="list">
      <formula1>"YES,NO"</formula1>
      <formula2>0</formula2>
    </dataValidation>
    <dataValidation allowBlank="true" errorStyle="stop" operator="between" showDropDown="false" showErrorMessage="false" showInputMessage="false" sqref="N11" type="list">
      <formula1>"YES,NO"</formula1>
      <formula2>0</formula2>
    </dataValidation>
    <dataValidation allowBlank="true" errorStyle="stop" operator="between" showDropDown="false" showErrorMessage="false" showInputMessage="false" sqref="O11" type="list">
      <formula1>"YES,NO"</formula1>
      <formula2>0</formula2>
    </dataValidation>
    <dataValidation allowBlank="true" errorStyle="stop" operator="between" showDropDown="false" showErrorMessage="false" showInputMessage="false" sqref="P11" type="list">
      <formula1>"YES,NO"</formula1>
      <formula2>0</formula2>
    </dataValidation>
    <dataValidation allowBlank="true" errorStyle="stop" operator="between" showDropDown="false" showErrorMessage="false" showInputMessage="false" sqref="G12" type="list">
      <formula1>"YES,NO"</formula1>
      <formula2>0</formula2>
    </dataValidation>
    <dataValidation allowBlank="true" errorStyle="stop" operator="between" showDropDown="false" showErrorMessage="false" showInputMessage="false" sqref="H12" type="list">
      <formula1>"YES,NO"</formula1>
      <formula2>0</formula2>
    </dataValidation>
    <dataValidation allowBlank="true" errorStyle="stop" operator="between" showDropDown="false" showErrorMessage="false" showInputMessage="false" sqref="I12" type="list">
      <formula1>"YES,NO"</formula1>
      <formula2>0</formula2>
    </dataValidation>
    <dataValidation allowBlank="true" errorStyle="stop" operator="between" showDropDown="false" showErrorMessage="false" showInputMessage="false" sqref="J12" type="list">
      <formula1>"YES,NO"</formula1>
      <formula2>0</formula2>
    </dataValidation>
    <dataValidation allowBlank="true" errorStyle="stop" operator="between" showDropDown="false" showErrorMessage="false" showInputMessage="false" sqref="K12" type="list">
      <formula1>"YES,NO"</formula1>
      <formula2>0</formula2>
    </dataValidation>
    <dataValidation allowBlank="true" errorStyle="stop" operator="between" showDropDown="false" showErrorMessage="false" showInputMessage="false" sqref="L12" type="list">
      <formula1>"YES,NO"</formula1>
      <formula2>0</formula2>
    </dataValidation>
    <dataValidation allowBlank="true" errorStyle="stop" operator="between" showDropDown="false" showErrorMessage="false" showInputMessage="false" sqref="M12" type="list">
      <formula1>"YES,NO"</formula1>
      <formula2>0</formula2>
    </dataValidation>
    <dataValidation allowBlank="true" errorStyle="stop" operator="between" showDropDown="false" showErrorMessage="false" showInputMessage="false" sqref="N12" type="list">
      <formula1>"YES,NO"</formula1>
      <formula2>0</formula2>
    </dataValidation>
    <dataValidation allowBlank="true" errorStyle="stop" operator="between" showDropDown="false" showErrorMessage="false" showInputMessage="false" sqref="O12" type="list">
      <formula1>"YES,NO"</formula1>
      <formula2>0</formula2>
    </dataValidation>
    <dataValidation allowBlank="true" errorStyle="stop" operator="between" showDropDown="false" showErrorMessage="false" showInputMessage="false" sqref="P12" type="list">
      <formula1>"YES,NO"</formula1>
      <formula2>0</formula2>
    </dataValidation>
    <dataValidation allowBlank="true" errorStyle="stop" operator="between" showDropDown="false" showErrorMessage="false" showInputMessage="false" sqref="G13" type="list">
      <formula1>"YES,NO"</formula1>
      <formula2>0</formula2>
    </dataValidation>
    <dataValidation allowBlank="true" errorStyle="stop" operator="between" showDropDown="false" showErrorMessage="false" showInputMessage="false" sqref="H13" type="list">
      <formula1>"YES,NO"</formula1>
      <formula2>0</formula2>
    </dataValidation>
    <dataValidation allowBlank="true" errorStyle="stop" operator="between" showDropDown="false" showErrorMessage="false" showInputMessage="false" sqref="I13" type="list">
      <formula1>"YES,NO"</formula1>
      <formula2>0</formula2>
    </dataValidation>
    <dataValidation allowBlank="true" errorStyle="stop" operator="between" showDropDown="false" showErrorMessage="false" showInputMessage="false" sqref="J13" type="list">
      <formula1>"YES,NO"</formula1>
      <formula2>0</formula2>
    </dataValidation>
    <dataValidation allowBlank="true" errorStyle="stop" operator="between" showDropDown="false" showErrorMessage="false" showInputMessage="false" sqref="K13" type="list">
      <formula1>"YES,NO"</formula1>
      <formula2>0</formula2>
    </dataValidation>
    <dataValidation allowBlank="true" errorStyle="stop" operator="between" showDropDown="false" showErrorMessage="false" showInputMessage="false" sqref="L13" type="list">
      <formula1>"YES,NO"</formula1>
      <formula2>0</formula2>
    </dataValidation>
    <dataValidation allowBlank="true" errorStyle="stop" operator="between" showDropDown="false" showErrorMessage="false" showInputMessage="false" sqref="M13" type="list">
      <formula1>"YES,NO"</formula1>
      <formula2>0</formula2>
    </dataValidation>
    <dataValidation allowBlank="true" errorStyle="stop" operator="between" showDropDown="false" showErrorMessage="false" showInputMessage="false" sqref="N13" type="list">
      <formula1>"YES,NO"</formula1>
      <formula2>0</formula2>
    </dataValidation>
    <dataValidation allowBlank="true" errorStyle="stop" operator="between" showDropDown="false" showErrorMessage="false" showInputMessage="false" sqref="O13" type="list">
      <formula1>"YES,NO"</formula1>
      <formula2>0</formula2>
    </dataValidation>
    <dataValidation allowBlank="true" errorStyle="stop" operator="between" showDropDown="false" showErrorMessage="false" showInputMessage="false" sqref="P13" type="list">
      <formula1>"YES,NO"</formula1>
      <formula2>0</formula2>
    </dataValidation>
    <dataValidation allowBlank="true" errorStyle="stop" operator="between" showDropDown="false" showErrorMessage="false" showInputMessage="false" sqref="G14" type="list">
      <formula1>"YES,NO"</formula1>
      <formula2>0</formula2>
    </dataValidation>
    <dataValidation allowBlank="true" errorStyle="stop" operator="between" showDropDown="false" showErrorMessage="false" showInputMessage="false" sqref="H14" type="list">
      <formula1>"YES,NO"</formula1>
      <formula2>0</formula2>
    </dataValidation>
    <dataValidation allowBlank="true" errorStyle="stop" operator="between" showDropDown="false" showErrorMessage="false" showInputMessage="false" sqref="I14" type="list">
      <formula1>"YES,NO"</formula1>
      <formula2>0</formula2>
    </dataValidation>
    <dataValidation allowBlank="true" errorStyle="stop" operator="between" showDropDown="false" showErrorMessage="false" showInputMessage="false" sqref="J14" type="list">
      <formula1>"YES,NO"</formula1>
      <formula2>0</formula2>
    </dataValidation>
    <dataValidation allowBlank="true" errorStyle="stop" operator="between" showDropDown="false" showErrorMessage="false" showInputMessage="false" sqref="K14" type="list">
      <formula1>"YES,NO"</formula1>
      <formula2>0</formula2>
    </dataValidation>
    <dataValidation allowBlank="true" errorStyle="stop" operator="between" showDropDown="false" showErrorMessage="false" showInputMessage="false" sqref="L14" type="list">
      <formula1>"YES,NO"</formula1>
      <formula2>0</formula2>
    </dataValidation>
    <dataValidation allowBlank="true" errorStyle="stop" operator="between" showDropDown="false" showErrorMessage="false" showInputMessage="false" sqref="M14" type="list">
      <formula1>"YES,NO"</formula1>
      <formula2>0</formula2>
    </dataValidation>
    <dataValidation allowBlank="true" errorStyle="stop" operator="between" showDropDown="false" showErrorMessage="false" showInputMessage="false" sqref="N14" type="list">
      <formula1>"YES,NO"</formula1>
      <formula2>0</formula2>
    </dataValidation>
    <dataValidation allowBlank="true" errorStyle="stop" operator="between" showDropDown="false" showErrorMessage="false" showInputMessage="false" sqref="O14" type="list">
      <formula1>"YES,NO"</formula1>
      <formula2>0</formula2>
    </dataValidation>
    <dataValidation allowBlank="true" errorStyle="stop" operator="between" showDropDown="false" showErrorMessage="false" showInputMessage="false" sqref="P14" type="list">
      <formula1>"YES,NO"</formula1>
      <formula2>0</formula2>
    </dataValidation>
    <dataValidation allowBlank="true" errorStyle="stop" operator="between" showDropDown="false" showErrorMessage="false" showInputMessage="false" sqref="G15" type="list">
      <formula1>"YES,NO"</formula1>
      <formula2>0</formula2>
    </dataValidation>
    <dataValidation allowBlank="true" errorStyle="stop" operator="between" showDropDown="false" showErrorMessage="false" showInputMessage="false" sqref="H15" type="list">
      <formula1>"YES,NO"</formula1>
      <formula2>0</formula2>
    </dataValidation>
    <dataValidation allowBlank="true" errorStyle="stop" operator="between" showDropDown="false" showErrorMessage="false" showInputMessage="false" sqref="I15" type="list">
      <formula1>"YES,NO"</formula1>
      <formula2>0</formula2>
    </dataValidation>
    <dataValidation allowBlank="true" errorStyle="stop" operator="between" showDropDown="false" showErrorMessage="false" showInputMessage="false" sqref="J15" type="list">
      <formula1>"YES,NO"</formula1>
      <formula2>0</formula2>
    </dataValidation>
    <dataValidation allowBlank="true" errorStyle="stop" operator="between" showDropDown="false" showErrorMessage="false" showInputMessage="false" sqref="K15" type="list">
      <formula1>"YES,NO"</formula1>
      <formula2>0</formula2>
    </dataValidation>
    <dataValidation allowBlank="true" errorStyle="stop" operator="between" showDropDown="false" showErrorMessage="false" showInputMessage="false" sqref="L15" type="list">
      <formula1>"YES,NO"</formula1>
      <formula2>0</formula2>
    </dataValidation>
    <dataValidation allowBlank="true" errorStyle="stop" operator="between" showDropDown="false" showErrorMessage="false" showInputMessage="false" sqref="M15" type="list">
      <formula1>"YES,NO"</formula1>
      <formula2>0</formula2>
    </dataValidation>
    <dataValidation allowBlank="true" errorStyle="stop" operator="between" showDropDown="false" showErrorMessage="false" showInputMessage="false" sqref="N15" type="list">
      <formula1>"YES,NO"</formula1>
      <formula2>0</formula2>
    </dataValidation>
    <dataValidation allowBlank="true" errorStyle="stop" operator="between" showDropDown="false" showErrorMessage="false" showInputMessage="false" sqref="O15" type="list">
      <formula1>"YES,NO"</formula1>
      <formula2>0</formula2>
    </dataValidation>
    <dataValidation allowBlank="true" errorStyle="stop" operator="between" showDropDown="false" showErrorMessage="false" showInputMessage="false" sqref="P15" type="list">
      <formula1>"YES,NO"</formula1>
      <formula2>0</formula2>
    </dataValidation>
    <dataValidation allowBlank="true" errorStyle="stop" operator="between" showDropDown="false" showErrorMessage="false" showInputMessage="false" sqref="G16" type="list">
      <formula1>"YES,NO"</formula1>
      <formula2>0</formula2>
    </dataValidation>
    <dataValidation allowBlank="true" errorStyle="stop" operator="between" showDropDown="false" showErrorMessage="false" showInputMessage="false" sqref="H16" type="list">
      <formula1>"YES,NO"</formula1>
      <formula2>0</formula2>
    </dataValidation>
    <dataValidation allowBlank="true" errorStyle="stop" operator="between" showDropDown="false" showErrorMessage="false" showInputMessage="false" sqref="I16" type="list">
      <formula1>"YES,NO"</formula1>
      <formula2>0</formula2>
    </dataValidation>
    <dataValidation allowBlank="true" errorStyle="stop" operator="between" showDropDown="false" showErrorMessage="false" showInputMessage="false" sqref="J16" type="list">
      <formula1>"YES,NO"</formula1>
      <formula2>0</formula2>
    </dataValidation>
    <dataValidation allowBlank="true" errorStyle="stop" operator="between" showDropDown="false" showErrorMessage="false" showInputMessage="false" sqref="K16" type="list">
      <formula1>"YES,NO"</formula1>
      <formula2>0</formula2>
    </dataValidation>
    <dataValidation allowBlank="true" errorStyle="stop" operator="between" showDropDown="false" showErrorMessage="false" showInputMessage="false" sqref="L16" type="list">
      <formula1>"YES,NO"</formula1>
      <formula2>0</formula2>
    </dataValidation>
    <dataValidation allowBlank="true" errorStyle="stop" operator="between" showDropDown="false" showErrorMessage="false" showInputMessage="false" sqref="M16" type="list">
      <formula1>"YES,NO"</formula1>
      <formula2>0</formula2>
    </dataValidation>
    <dataValidation allowBlank="true" errorStyle="stop" operator="between" showDropDown="false" showErrorMessage="false" showInputMessage="false" sqref="N16" type="list">
      <formula1>"YES,NO"</formula1>
      <formula2>0</formula2>
    </dataValidation>
    <dataValidation allowBlank="true" errorStyle="stop" operator="between" showDropDown="false" showErrorMessage="false" showInputMessage="false" sqref="O16" type="list">
      <formula1>"YES,NO"</formula1>
      <formula2>0</formula2>
    </dataValidation>
    <dataValidation allowBlank="true" errorStyle="stop" operator="between" showDropDown="false" showErrorMessage="false" showInputMessage="false" sqref="P16" type="list">
      <formula1>"YES,NO"</formula1>
      <formula2>0</formula2>
    </dataValidation>
    <dataValidation allowBlank="true" errorStyle="stop" operator="between" showDropDown="false" showErrorMessage="false" showInputMessage="false" sqref="G17" type="list">
      <formula1>"YES,NO"</formula1>
      <formula2>0</formula2>
    </dataValidation>
    <dataValidation allowBlank="true" errorStyle="stop" operator="between" showDropDown="false" showErrorMessage="false" showInputMessage="false" sqref="H17" type="list">
      <formula1>"YES,NO"</formula1>
      <formula2>0</formula2>
    </dataValidation>
    <dataValidation allowBlank="true" errorStyle="stop" operator="between" showDropDown="false" showErrorMessage="false" showInputMessage="false" sqref="I17" type="list">
      <formula1>"YES,NO"</formula1>
      <formula2>0</formula2>
    </dataValidation>
    <dataValidation allowBlank="true" errorStyle="stop" operator="between" showDropDown="false" showErrorMessage="false" showInputMessage="false" sqref="J17" type="list">
      <formula1>"YES,NO"</formula1>
      <formula2>0</formula2>
    </dataValidation>
    <dataValidation allowBlank="true" errorStyle="stop" operator="between" showDropDown="false" showErrorMessage="false" showInputMessage="false" sqref="K17" type="list">
      <formula1>"YES,NO"</formula1>
      <formula2>0</formula2>
    </dataValidation>
    <dataValidation allowBlank="true" errorStyle="stop" operator="between" showDropDown="false" showErrorMessage="false" showInputMessage="false" sqref="L17" type="list">
      <formula1>"YES,NO"</formula1>
      <formula2>0</formula2>
    </dataValidation>
    <dataValidation allowBlank="true" errorStyle="stop" operator="between" showDropDown="false" showErrorMessage="false" showInputMessage="false" sqref="M17" type="list">
      <formula1>"YES,NO"</formula1>
      <formula2>0</formula2>
    </dataValidation>
    <dataValidation allowBlank="true" errorStyle="stop" operator="between" showDropDown="false" showErrorMessage="false" showInputMessage="false" sqref="N17" type="list">
      <formula1>"YES,NO"</formula1>
      <formula2>0</formula2>
    </dataValidation>
    <dataValidation allowBlank="true" errorStyle="stop" operator="between" showDropDown="false" showErrorMessage="false" showInputMessage="false" sqref="O17" type="list">
      <formula1>"YES,NO"</formula1>
      <formula2>0</formula2>
    </dataValidation>
    <dataValidation allowBlank="true" errorStyle="stop" operator="between" showDropDown="false" showErrorMessage="false" showInputMessage="false" sqref="P17" type="list">
      <formula1>"YES,NO"</formula1>
      <formula2>0</formula2>
    </dataValidation>
    <dataValidation allowBlank="true" errorStyle="stop" operator="between" showDropDown="false" showErrorMessage="false" showInputMessage="false" sqref="G18" type="list">
      <formula1>"YES,NO"</formula1>
      <formula2>0</formula2>
    </dataValidation>
    <dataValidation allowBlank="true" errorStyle="stop" operator="between" showDropDown="false" showErrorMessage="false" showInputMessage="false" sqref="H18" type="list">
      <formula1>"YES,NO"</formula1>
      <formula2>0</formula2>
    </dataValidation>
    <dataValidation allowBlank="true" errorStyle="stop" operator="between" showDropDown="false" showErrorMessage="false" showInputMessage="false" sqref="I18" type="list">
      <formula1>"YES,NO"</formula1>
      <formula2>0</formula2>
    </dataValidation>
    <dataValidation allowBlank="true" errorStyle="stop" operator="between" showDropDown="false" showErrorMessage="false" showInputMessage="false" sqref="J18" type="list">
      <formula1>"YES,NO"</formula1>
      <formula2>0</formula2>
    </dataValidation>
    <dataValidation allowBlank="true" errorStyle="stop" operator="between" showDropDown="false" showErrorMessage="false" showInputMessage="false" sqref="K18" type="list">
      <formula1>"YES,NO"</formula1>
      <formula2>0</formula2>
    </dataValidation>
    <dataValidation allowBlank="true" errorStyle="stop" operator="between" showDropDown="false" showErrorMessage="false" showInputMessage="false" sqref="L18" type="list">
      <formula1>"YES,NO"</formula1>
      <formula2>0</formula2>
    </dataValidation>
    <dataValidation allowBlank="true" errorStyle="stop" operator="between" showDropDown="false" showErrorMessage="false" showInputMessage="false" sqref="M18" type="list">
      <formula1>"YES,NO"</formula1>
      <formula2>0</formula2>
    </dataValidation>
    <dataValidation allowBlank="true" errorStyle="stop" operator="between" showDropDown="false" showErrorMessage="false" showInputMessage="false" sqref="N18" type="list">
      <formula1>"YES,NO"</formula1>
      <formula2>0</formula2>
    </dataValidation>
    <dataValidation allowBlank="true" errorStyle="stop" operator="between" showDropDown="false" showErrorMessage="false" showInputMessage="false" sqref="O18" type="list">
      <formula1>"YES,NO"</formula1>
      <formula2>0</formula2>
    </dataValidation>
    <dataValidation allowBlank="true" errorStyle="stop" operator="between" showDropDown="false" showErrorMessage="false" showInputMessage="false" sqref="P18" type="list">
      <formula1>"YES,NO"</formula1>
      <formula2>0</formula2>
    </dataValidation>
    <dataValidation allowBlank="true" errorStyle="stop" operator="between" showDropDown="false" showErrorMessage="false" showInputMessage="false" sqref="G19" type="list">
      <formula1>"YES,NO"</formula1>
      <formula2>0</formula2>
    </dataValidation>
    <dataValidation allowBlank="true" errorStyle="stop" operator="between" showDropDown="false" showErrorMessage="false" showInputMessage="false" sqref="H19" type="list">
      <formula1>"YES,NO"</formula1>
      <formula2>0</formula2>
    </dataValidation>
    <dataValidation allowBlank="true" errorStyle="stop" operator="between" showDropDown="false" showErrorMessage="false" showInputMessage="false" sqref="I19" type="list">
      <formula1>"YES,NO"</formula1>
      <formula2>0</formula2>
    </dataValidation>
    <dataValidation allowBlank="true" errorStyle="stop" operator="between" showDropDown="false" showErrorMessage="false" showInputMessage="false" sqref="J19" type="list">
      <formula1>"YES,NO"</formula1>
      <formula2>0</formula2>
    </dataValidation>
    <dataValidation allowBlank="true" errorStyle="stop" operator="between" showDropDown="false" showErrorMessage="false" showInputMessage="false" sqref="K19" type="list">
      <formula1>"YES,NO"</formula1>
      <formula2>0</formula2>
    </dataValidation>
    <dataValidation allowBlank="true" errorStyle="stop" operator="between" showDropDown="false" showErrorMessage="false" showInputMessage="false" sqref="L19" type="list">
      <formula1>"YES,NO"</formula1>
      <formula2>0</formula2>
    </dataValidation>
    <dataValidation allowBlank="true" errorStyle="stop" operator="between" showDropDown="false" showErrorMessage="false" showInputMessage="false" sqref="M19" type="list">
      <formula1>"YES,NO"</formula1>
      <formula2>0</formula2>
    </dataValidation>
    <dataValidation allowBlank="true" errorStyle="stop" operator="between" showDropDown="false" showErrorMessage="false" showInputMessage="false" sqref="N19" type="list">
      <formula1>"YES,NO"</formula1>
      <formula2>0</formula2>
    </dataValidation>
    <dataValidation allowBlank="true" errorStyle="stop" operator="between" showDropDown="false" showErrorMessage="false" showInputMessage="false" sqref="O19" type="list">
      <formula1>"YES,NO"</formula1>
      <formula2>0</formula2>
    </dataValidation>
    <dataValidation allowBlank="true" errorStyle="stop" operator="between" showDropDown="false" showErrorMessage="false" showInputMessage="false" sqref="P19" type="list">
      <formula1>"YES,NO"</formula1>
      <formula2>0</formula2>
    </dataValidation>
    <dataValidation allowBlank="true" errorStyle="stop" operator="between" showDropDown="false" showErrorMessage="false" showInputMessage="false" sqref="G20" type="list">
      <formula1>"YES,NO"</formula1>
      <formula2>0</formula2>
    </dataValidation>
    <dataValidation allowBlank="true" errorStyle="stop" operator="between" showDropDown="false" showErrorMessage="false" showInputMessage="false" sqref="H20" type="list">
      <formula1>"YES,NO"</formula1>
      <formula2>0</formula2>
    </dataValidation>
    <dataValidation allowBlank="true" errorStyle="stop" operator="between" showDropDown="false" showErrorMessage="false" showInputMessage="false" sqref="I20" type="list">
      <formula1>"YES,NO"</formula1>
      <formula2>0</formula2>
    </dataValidation>
    <dataValidation allowBlank="true" errorStyle="stop" operator="between" showDropDown="false" showErrorMessage="false" showInputMessage="false" sqref="J20" type="list">
      <formula1>"YES,NO"</formula1>
      <formula2>0</formula2>
    </dataValidation>
    <dataValidation allowBlank="true" errorStyle="stop" operator="between" showDropDown="false" showErrorMessage="false" showInputMessage="false" sqref="K20" type="list">
      <formula1>"YES,NO"</formula1>
      <formula2>0</formula2>
    </dataValidation>
    <dataValidation allowBlank="true" errorStyle="stop" operator="between" showDropDown="false" showErrorMessage="false" showInputMessage="false" sqref="L20" type="list">
      <formula1>"YES,NO"</formula1>
      <formula2>0</formula2>
    </dataValidation>
    <dataValidation allowBlank="true" errorStyle="stop" operator="between" showDropDown="false" showErrorMessage="false" showInputMessage="false" sqref="M20" type="list">
      <formula1>"YES,NO"</formula1>
      <formula2>0</formula2>
    </dataValidation>
    <dataValidation allowBlank="true" errorStyle="stop" operator="between" showDropDown="false" showErrorMessage="false" showInputMessage="false" sqref="N20" type="list">
      <formula1>"YES,NO"</formula1>
      <formula2>0</formula2>
    </dataValidation>
    <dataValidation allowBlank="true" errorStyle="stop" operator="between" showDropDown="false" showErrorMessage="false" showInputMessage="false" sqref="O20" type="list">
      <formula1>"YES,NO"</formula1>
      <formula2>0</formula2>
    </dataValidation>
    <dataValidation allowBlank="true" errorStyle="stop" operator="between" showDropDown="false" showErrorMessage="false" showInputMessage="false" sqref="P20" type="list">
      <formula1>"YES,NO"</formula1>
      <formula2>0</formula2>
    </dataValidation>
    <dataValidation allowBlank="true" errorStyle="stop" operator="between" showDropDown="false" showErrorMessage="false" showInputMessage="false" sqref="G21" type="list">
      <formula1>"YES,NO"</formula1>
      <formula2>0</formula2>
    </dataValidation>
    <dataValidation allowBlank="true" errorStyle="stop" operator="between" showDropDown="false" showErrorMessage="false" showInputMessage="false" sqref="H21" type="list">
      <formula1>"YES,NO"</formula1>
      <formula2>0</formula2>
    </dataValidation>
    <dataValidation allowBlank="true" errorStyle="stop" operator="between" showDropDown="false" showErrorMessage="false" showInputMessage="false" sqref="I21" type="list">
      <formula1>"YES,NO"</formula1>
      <formula2>0</formula2>
    </dataValidation>
    <dataValidation allowBlank="true" errorStyle="stop" operator="between" showDropDown="false" showErrorMessage="false" showInputMessage="false" sqref="J21" type="list">
      <formula1>"YES,NO"</formula1>
      <formula2>0</formula2>
    </dataValidation>
    <dataValidation allowBlank="true" errorStyle="stop" operator="between" showDropDown="false" showErrorMessage="false" showInputMessage="false" sqref="K21" type="list">
      <formula1>"YES,NO"</formula1>
      <formula2>0</formula2>
    </dataValidation>
    <dataValidation allowBlank="true" errorStyle="stop" operator="between" showDropDown="false" showErrorMessage="false" showInputMessage="false" sqref="L21" type="list">
      <formula1>"YES,NO"</formula1>
      <formula2>0</formula2>
    </dataValidation>
    <dataValidation allowBlank="true" errorStyle="stop" operator="between" showDropDown="false" showErrorMessage="false" showInputMessage="false" sqref="M21" type="list">
      <formula1>"YES,NO"</formula1>
      <formula2>0</formula2>
    </dataValidation>
    <dataValidation allowBlank="true" errorStyle="stop" operator="between" showDropDown="false" showErrorMessage="false" showInputMessage="false" sqref="N21" type="list">
      <formula1>"YES,NO"</formula1>
      <formula2>0</formula2>
    </dataValidation>
    <dataValidation allowBlank="true" errorStyle="stop" operator="between" showDropDown="false" showErrorMessage="false" showInputMessage="false" sqref="O21" type="list">
      <formula1>"YES,NO"</formula1>
      <formula2>0</formula2>
    </dataValidation>
    <dataValidation allowBlank="true" errorStyle="stop" operator="between" showDropDown="false" showErrorMessage="false" showInputMessage="false" sqref="P21" type="list">
      <formula1>"YES,NO"</formula1>
      <formula2>0</formula2>
    </dataValidation>
    <dataValidation allowBlank="true" errorStyle="stop" operator="between" showDropDown="false" showErrorMessage="false" showInputMessage="false" sqref="G22" type="list">
      <formula1>"YES,NO"</formula1>
      <formula2>0</formula2>
    </dataValidation>
    <dataValidation allowBlank="true" errorStyle="stop" operator="between" showDropDown="false" showErrorMessage="false" showInputMessage="false" sqref="H22" type="list">
      <formula1>"YES,NO"</formula1>
      <formula2>0</formula2>
    </dataValidation>
    <dataValidation allowBlank="true" errorStyle="stop" operator="between" showDropDown="false" showErrorMessage="false" showInputMessage="false" sqref="I22" type="list">
      <formula1>"YES,NO"</formula1>
      <formula2>0</formula2>
    </dataValidation>
    <dataValidation allowBlank="true" errorStyle="stop" operator="between" showDropDown="false" showErrorMessage="false" showInputMessage="false" sqref="J22" type="list">
      <formula1>"YES,NO"</formula1>
      <formula2>0</formula2>
    </dataValidation>
    <dataValidation allowBlank="true" errorStyle="stop" operator="between" showDropDown="false" showErrorMessage="false" showInputMessage="false" sqref="K22" type="list">
      <formula1>"YES,NO"</formula1>
      <formula2>0</formula2>
    </dataValidation>
    <dataValidation allowBlank="true" errorStyle="stop" operator="between" showDropDown="false" showErrorMessage="false" showInputMessage="false" sqref="L22" type="list">
      <formula1>"YES,NO"</formula1>
      <formula2>0</formula2>
    </dataValidation>
    <dataValidation allowBlank="true" errorStyle="stop" operator="between" showDropDown="false" showErrorMessage="false" showInputMessage="false" sqref="M22" type="list">
      <formula1>"YES,NO"</formula1>
      <formula2>0</formula2>
    </dataValidation>
    <dataValidation allowBlank="true" errorStyle="stop" operator="between" showDropDown="false" showErrorMessage="false" showInputMessage="false" sqref="N22" type="list">
      <formula1>"YES,NO"</formula1>
      <formula2>0</formula2>
    </dataValidation>
    <dataValidation allowBlank="true" errorStyle="stop" operator="between" showDropDown="false" showErrorMessage="false" showInputMessage="false" sqref="O22" type="list">
      <formula1>"YES,NO"</formula1>
      <formula2>0</formula2>
    </dataValidation>
    <dataValidation allowBlank="true" errorStyle="stop" operator="between" showDropDown="false" showErrorMessage="false" showInputMessage="false" sqref="P22" type="list">
      <formula1>"YES,NO"</formula1>
      <formula2>0</formula2>
    </dataValidation>
    <dataValidation allowBlank="true" errorStyle="stop" operator="between" showDropDown="false" showErrorMessage="false" showInputMessage="false" sqref="G23" type="list">
      <formula1>"YES,NO"</formula1>
      <formula2>0</formula2>
    </dataValidation>
    <dataValidation allowBlank="true" errorStyle="stop" operator="between" showDropDown="false" showErrorMessage="false" showInputMessage="false" sqref="H23" type="list">
      <formula1>"YES,NO"</formula1>
      <formula2>0</formula2>
    </dataValidation>
    <dataValidation allowBlank="true" errorStyle="stop" operator="between" showDropDown="false" showErrorMessage="false" showInputMessage="false" sqref="I23" type="list">
      <formula1>"YES,NO"</formula1>
      <formula2>0</formula2>
    </dataValidation>
    <dataValidation allowBlank="true" errorStyle="stop" operator="between" showDropDown="false" showErrorMessage="false" showInputMessage="false" sqref="J23" type="list">
      <formula1>"YES,NO"</formula1>
      <formula2>0</formula2>
    </dataValidation>
    <dataValidation allowBlank="true" errorStyle="stop" operator="between" showDropDown="false" showErrorMessage="false" showInputMessage="false" sqref="K23" type="list">
      <formula1>"YES,NO"</formula1>
      <formula2>0</formula2>
    </dataValidation>
    <dataValidation allowBlank="true" errorStyle="stop" operator="between" showDropDown="false" showErrorMessage="false" showInputMessage="false" sqref="L23" type="list">
      <formula1>"YES,NO"</formula1>
      <formula2>0</formula2>
    </dataValidation>
    <dataValidation allowBlank="true" errorStyle="stop" operator="between" showDropDown="false" showErrorMessage="false" showInputMessage="false" sqref="M23" type="list">
      <formula1>"YES,NO"</formula1>
      <formula2>0</formula2>
    </dataValidation>
    <dataValidation allowBlank="true" errorStyle="stop" operator="between" showDropDown="false" showErrorMessage="false" showInputMessage="false" sqref="N23" type="list">
      <formula1>"YES,NO"</formula1>
      <formula2>0</formula2>
    </dataValidation>
    <dataValidation allowBlank="true" errorStyle="stop" operator="between" showDropDown="false" showErrorMessage="false" showInputMessage="false" sqref="O23" type="list">
      <formula1>"YES,NO"</formula1>
      <formula2>0</formula2>
    </dataValidation>
    <dataValidation allowBlank="true" errorStyle="stop" operator="between" showDropDown="false" showErrorMessage="false" showInputMessage="false" sqref="P23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2D2D"/>
    <pageSetUpPr fitToPage="false"/>
  </sheetPr>
  <dimension ref="B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5" min="4" style="0" width="16"/>
    <col collapsed="false" customWidth="true" hidden="false" outlineLevel="0" max="7" min="6" style="0" width="20"/>
    <col collapsed="false" customWidth="true" hidden="false" outlineLevel="0" max="8" min="8" style="0" width="22"/>
  </cols>
  <sheetData>
    <row r="1" customFormat="false" ht="7.5" hidden="false" customHeight="true" outlineLevel="0" collapsed="false"/>
    <row r="2" customFormat="false" ht="42" hidden="false" customHeight="true" outlineLevel="0" collapsed="false">
      <c r="B2" s="43" t="s">
        <v>171</v>
      </c>
      <c r="C2" s="43"/>
      <c r="D2" s="43"/>
      <c r="E2" s="43"/>
      <c r="F2" s="43"/>
      <c r="G2" s="43"/>
      <c r="H2" s="43"/>
    </row>
    <row r="3" customFormat="false" ht="7.5" hidden="false" customHeight="true" outlineLevel="0" collapsed="false"/>
    <row r="4" customFormat="false" ht="36" hidden="false" customHeight="true" outlineLevel="0" collapsed="false">
      <c r="B4" s="44" t="s">
        <v>28</v>
      </c>
      <c r="C4" s="44" t="s">
        <v>29</v>
      </c>
      <c r="D4" s="44" t="s">
        <v>2</v>
      </c>
      <c r="E4" s="44" t="s">
        <v>30</v>
      </c>
      <c r="F4" s="44" t="s">
        <v>31</v>
      </c>
      <c r="G4" s="44" t="s">
        <v>172</v>
      </c>
      <c r="H4" s="44" t="s">
        <v>173</v>
      </c>
      <c r="I4" s="44" t="s">
        <v>40</v>
      </c>
    </row>
    <row r="5" customFormat="false" ht="21.75" hidden="false" customHeight="true" outlineLevel="0" collapsed="false">
      <c r="B5" s="15" t="n">
        <v>1</v>
      </c>
      <c r="C5" s="14" t="s">
        <v>42</v>
      </c>
      <c r="D5" s="15" t="s">
        <v>12</v>
      </c>
      <c r="E5" s="15" t="s">
        <v>65</v>
      </c>
      <c r="F5" s="15" t="s">
        <v>174</v>
      </c>
      <c r="G5" s="15" t="s">
        <v>175</v>
      </c>
      <c r="H5" s="15" t="s">
        <v>7</v>
      </c>
      <c r="I5" s="15" t="s">
        <v>176</v>
      </c>
    </row>
    <row r="6" customFormat="false" ht="21.75" hidden="false" customHeight="true" outlineLevel="0" collapsed="false">
      <c r="B6" s="5" t="n">
        <v>2</v>
      </c>
      <c r="C6" s="4" t="s">
        <v>47</v>
      </c>
      <c r="D6" s="5" t="s">
        <v>12</v>
      </c>
      <c r="E6" s="5" t="s">
        <v>54</v>
      </c>
      <c r="F6" s="5" t="s">
        <v>174</v>
      </c>
      <c r="G6" s="5" t="s">
        <v>175</v>
      </c>
      <c r="H6" s="5" t="s">
        <v>7</v>
      </c>
      <c r="I6" s="5" t="s">
        <v>176</v>
      </c>
    </row>
    <row r="7" customFormat="false" ht="21.75" hidden="false" customHeight="true" outlineLevel="0" collapsed="false">
      <c r="B7" s="15" t="n">
        <v>3</v>
      </c>
      <c r="C7" s="14" t="s">
        <v>86</v>
      </c>
      <c r="D7" s="15" t="s">
        <v>14</v>
      </c>
      <c r="E7" s="15" t="s">
        <v>54</v>
      </c>
      <c r="F7" s="15" t="s">
        <v>174</v>
      </c>
      <c r="G7" s="15" t="s">
        <v>175</v>
      </c>
      <c r="H7" s="15" t="s">
        <v>7</v>
      </c>
      <c r="I7" s="15" t="s">
        <v>176</v>
      </c>
    </row>
    <row r="8" customFormat="false" ht="21.75" hidden="false" customHeight="true" outlineLevel="0" collapsed="false">
      <c r="B8" s="5" t="n">
        <v>4</v>
      </c>
      <c r="C8" s="4" t="s">
        <v>87</v>
      </c>
      <c r="D8" s="5" t="s">
        <v>14</v>
      </c>
      <c r="E8" s="5" t="s">
        <v>54</v>
      </c>
      <c r="F8" s="5" t="s">
        <v>174</v>
      </c>
      <c r="G8" s="5" t="s">
        <v>175</v>
      </c>
      <c r="H8" s="5" t="s">
        <v>7</v>
      </c>
      <c r="I8" s="5" t="s">
        <v>176</v>
      </c>
    </row>
    <row r="9" customFormat="false" ht="21.75" hidden="false" customHeight="true" outlineLevel="0" collapsed="false">
      <c r="B9" s="15" t="n">
        <v>5</v>
      </c>
      <c r="C9" s="14" t="s">
        <v>118</v>
      </c>
      <c r="D9" s="15" t="s">
        <v>16</v>
      </c>
      <c r="E9" s="15" t="s">
        <v>54</v>
      </c>
      <c r="F9" s="15" t="s">
        <v>174</v>
      </c>
      <c r="G9" s="15" t="s">
        <v>175</v>
      </c>
      <c r="H9" s="15" t="s">
        <v>7</v>
      </c>
      <c r="I9" s="15" t="s">
        <v>176</v>
      </c>
    </row>
    <row r="10" customFormat="false" ht="21.75" hidden="false" customHeight="true" outlineLevel="0" collapsed="false">
      <c r="B10" s="5" t="n">
        <v>6</v>
      </c>
      <c r="C10" s="4" t="s">
        <v>119</v>
      </c>
      <c r="D10" s="5" t="s">
        <v>16</v>
      </c>
      <c r="E10" s="5" t="s">
        <v>65</v>
      </c>
      <c r="F10" s="5" t="s">
        <v>174</v>
      </c>
      <c r="G10" s="5" t="s">
        <v>175</v>
      </c>
      <c r="H10" s="5" t="s">
        <v>7</v>
      </c>
      <c r="I10" s="5" t="s">
        <v>176</v>
      </c>
    </row>
    <row r="11" customFormat="false" ht="21.75" hidden="false" customHeight="true" outlineLevel="0" collapsed="false">
      <c r="B11" s="15" t="n">
        <v>7</v>
      </c>
      <c r="C11" s="14" t="s">
        <v>147</v>
      </c>
      <c r="D11" s="15" t="s">
        <v>18</v>
      </c>
      <c r="E11" s="15" t="s">
        <v>54</v>
      </c>
      <c r="F11" s="15" t="s">
        <v>174</v>
      </c>
      <c r="G11" s="15" t="s">
        <v>175</v>
      </c>
      <c r="H11" s="15" t="s">
        <v>7</v>
      </c>
      <c r="I11" s="15" t="s">
        <v>176</v>
      </c>
    </row>
    <row r="12" customFormat="false" ht="21.75" hidden="false" customHeight="true" outlineLevel="0" collapsed="false">
      <c r="B12" s="5" t="n">
        <v>8</v>
      </c>
      <c r="C12" s="4" t="s">
        <v>148</v>
      </c>
      <c r="D12" s="5" t="s">
        <v>18</v>
      </c>
      <c r="E12" s="5" t="s">
        <v>65</v>
      </c>
      <c r="F12" s="5" t="s">
        <v>174</v>
      </c>
      <c r="G12" s="5" t="s">
        <v>175</v>
      </c>
      <c r="H12" s="5" t="s">
        <v>7</v>
      </c>
      <c r="I12" s="5" t="s">
        <v>176</v>
      </c>
    </row>
    <row r="14" customFormat="false" ht="30" hidden="false" customHeight="true" outlineLevel="0" collapsed="false">
      <c r="B14" s="45" t="s">
        <v>177</v>
      </c>
      <c r="C14" s="45"/>
      <c r="D14" s="45"/>
      <c r="E14" s="45"/>
      <c r="F14" s="45"/>
      <c r="G14" s="45"/>
      <c r="H14" s="45"/>
    </row>
  </sheetData>
  <mergeCells count="2">
    <mergeCell ref="B2:H2"/>
    <mergeCell ref="B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B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55"/>
    <col collapsed="false" customWidth="true" hidden="false" outlineLevel="0" max="4" min="4" style="0" width="22"/>
  </cols>
  <sheetData>
    <row r="1" customFormat="false" ht="7.5" hidden="false" customHeight="true" outlineLevel="0" collapsed="false"/>
    <row r="2" customFormat="false" ht="42" hidden="false" customHeight="true" outlineLevel="0" collapsed="false">
      <c r="B2" s="46" t="s">
        <v>178</v>
      </c>
      <c r="C2" s="46"/>
      <c r="D2" s="46"/>
    </row>
    <row r="4" customFormat="false" ht="27.75" hidden="false" customHeight="true" outlineLevel="0" collapsed="false">
      <c r="B4" s="20" t="s">
        <v>179</v>
      </c>
      <c r="C4" s="47" t="s">
        <v>180</v>
      </c>
      <c r="D4" s="20" t="s">
        <v>181</v>
      </c>
    </row>
    <row r="5" customFormat="false" ht="27.75" hidden="false" customHeight="true" outlineLevel="0" collapsed="false">
      <c r="B5" s="48" t="s">
        <v>4</v>
      </c>
      <c r="C5" s="49" t="s">
        <v>182</v>
      </c>
      <c r="D5" s="48" t="s">
        <v>183</v>
      </c>
    </row>
    <row r="6" customFormat="false" ht="27.75" hidden="false" customHeight="true" outlineLevel="0" collapsed="false">
      <c r="B6" s="50" t="s">
        <v>5</v>
      </c>
      <c r="C6" s="51" t="s">
        <v>184</v>
      </c>
      <c r="D6" s="50" t="s">
        <v>185</v>
      </c>
    </row>
    <row r="7" customFormat="false" ht="27.75" hidden="false" customHeight="true" outlineLevel="0" collapsed="false">
      <c r="B7" s="52" t="s">
        <v>6</v>
      </c>
      <c r="C7" s="53" t="s">
        <v>186</v>
      </c>
      <c r="D7" s="52" t="s">
        <v>187</v>
      </c>
    </row>
    <row r="8" customFormat="false" ht="27.75" hidden="false" customHeight="true" outlineLevel="0" collapsed="false">
      <c r="B8" s="44" t="s">
        <v>7</v>
      </c>
      <c r="C8" s="54" t="s">
        <v>188</v>
      </c>
      <c r="D8" s="44" t="s">
        <v>189</v>
      </c>
    </row>
    <row r="10" customFormat="false" ht="13.5" hidden="false" customHeight="true" outlineLevel="0" collapsed="false"/>
    <row r="11" customFormat="false" ht="15" hidden="false" customHeight="true" outlineLevel="0" collapsed="false">
      <c r="B11" s="55" t="s">
        <v>190</v>
      </c>
      <c r="C11" s="55"/>
      <c r="D11" s="55"/>
    </row>
    <row r="12" customFormat="false" ht="21.75" hidden="false" customHeight="true" outlineLevel="0" collapsed="false">
      <c r="B12" s="4" t="s">
        <v>33</v>
      </c>
      <c r="C12" s="12" t="s">
        <v>191</v>
      </c>
      <c r="D12" s="12"/>
    </row>
    <row r="13" customFormat="false" ht="21.75" hidden="false" customHeight="true" outlineLevel="0" collapsed="false">
      <c r="B13" s="14" t="s">
        <v>34</v>
      </c>
      <c r="C13" s="18" t="s">
        <v>192</v>
      </c>
      <c r="D13" s="18"/>
    </row>
    <row r="14" customFormat="false" ht="21.75" hidden="false" customHeight="true" outlineLevel="0" collapsed="false">
      <c r="B14" s="4" t="s">
        <v>13</v>
      </c>
      <c r="C14" s="12" t="s">
        <v>193</v>
      </c>
      <c r="D14" s="12"/>
    </row>
    <row r="15" customFormat="false" ht="21.75" hidden="false" customHeight="true" outlineLevel="0" collapsed="false">
      <c r="B15" s="14" t="s">
        <v>15</v>
      </c>
      <c r="C15" s="18" t="s">
        <v>194</v>
      </c>
      <c r="D15" s="18"/>
    </row>
    <row r="16" customFormat="false" ht="21.75" hidden="false" customHeight="true" outlineLevel="0" collapsed="false">
      <c r="B16" s="4" t="s">
        <v>35</v>
      </c>
      <c r="C16" s="12" t="s">
        <v>195</v>
      </c>
      <c r="D16" s="12"/>
    </row>
    <row r="17" customFormat="false" ht="21.75" hidden="false" customHeight="true" outlineLevel="0" collapsed="false">
      <c r="B17" s="14" t="s">
        <v>36</v>
      </c>
      <c r="C17" s="18" t="s">
        <v>196</v>
      </c>
      <c r="D17" s="18"/>
    </row>
    <row r="18" customFormat="false" ht="21.75" hidden="false" customHeight="true" outlineLevel="0" collapsed="false">
      <c r="B18" s="4" t="s">
        <v>17</v>
      </c>
      <c r="C18" s="12" t="s">
        <v>197</v>
      </c>
      <c r="D18" s="12"/>
    </row>
    <row r="19" customFormat="false" ht="21.75" hidden="false" customHeight="true" outlineLevel="0" collapsed="false">
      <c r="B19" s="14" t="s">
        <v>37</v>
      </c>
      <c r="C19" s="18" t="s">
        <v>198</v>
      </c>
      <c r="D19" s="18"/>
    </row>
    <row r="20" customFormat="false" ht="21.75" hidden="false" customHeight="true" outlineLevel="0" collapsed="false">
      <c r="B20" s="4" t="s">
        <v>19</v>
      </c>
      <c r="C20" s="12" t="s">
        <v>199</v>
      </c>
      <c r="D20" s="12"/>
    </row>
    <row r="21" customFormat="false" ht="21.75" hidden="false" customHeight="true" outlineLevel="0" collapsed="false">
      <c r="B21" s="14" t="s">
        <v>38</v>
      </c>
      <c r="C21" s="18" t="s">
        <v>200</v>
      </c>
      <c r="D21" s="18"/>
    </row>
  </sheetData>
  <mergeCells count="12">
    <mergeCell ref="B2:D2"/>
    <mergeCell ref="B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2026-04-15T12:34:29Z</dcterms:created>
  <dc:creator>openpyxl</dc:creator>
  <dc:description/>
  <dc:language>en-US</dc:language>
  <cp:lastModifiedBy/>
  <dcterms:modified xsi:type="dcterms:W3CDTF">2026-04-15T12:34:29Z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