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uhgazure-my.sharepoint.com/personal/leou_comendador_optum_com/Documents/PRODUCTION/ramp 2024/2026 File/DM/"/>
    </mc:Choice>
  </mc:AlternateContent>
  <xr:revisionPtr revIDLastSave="64" documentId="8_{903201A0-CAED-471D-993A-34A207A3FC17}" xr6:coauthVersionLast="47" xr6:coauthVersionMax="47" xr10:uidLastSave="{71C6E17A-50E9-4F1F-9EE4-5F9FEF15975B}"/>
  <bookViews>
    <workbookView xWindow="-108" yWindow="-108" windowWidth="23256" windowHeight="13896" tabRatio="913" xr2:uid="{00000000-000D-0000-FFFF-FFFF00000000}"/>
  </bookViews>
  <sheets>
    <sheet name="📊 Dashboard" sheetId="1" r:id="rId1"/>
    <sheet name="Team Leou" sheetId="2" r:id="rId2"/>
    <sheet name="Team Alpha" sheetId="3" r:id="rId3"/>
    <sheet name="Team Beta" sheetId="4" r:id="rId4"/>
    <sheet name="Team Gamma" sheetId="5" r:id="rId5"/>
    <sheet name="⚫ Confirmed Attrition" sheetId="6" r:id="rId6"/>
    <sheet name="📋 Legend &amp; Guide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1" l="1"/>
  <c r="G10" i="1"/>
  <c r="K10" i="1" s="1"/>
  <c r="G9" i="1"/>
  <c r="K9" i="1" s="1"/>
  <c r="G8" i="1"/>
  <c r="K8" i="1" s="1"/>
  <c r="G7" i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5" i="2"/>
  <c r="Q5" i="3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B14" i="1"/>
  <c r="C11" i="1"/>
  <c r="F10" i="1"/>
  <c r="E10" i="1"/>
  <c r="D10" i="1"/>
  <c r="F9" i="1"/>
  <c r="E9" i="1"/>
  <c r="D9" i="1"/>
  <c r="F8" i="1"/>
  <c r="E8" i="1"/>
  <c r="D8" i="1"/>
  <c r="E7" i="1"/>
  <c r="D7" i="1"/>
  <c r="H10" i="1" l="1"/>
  <c r="K7" i="1"/>
  <c r="F11" i="1"/>
  <c r="I14" i="1" s="1"/>
  <c r="I8" i="1"/>
  <c r="I9" i="1"/>
  <c r="I10" i="1"/>
  <c r="H8" i="1"/>
  <c r="D11" i="1"/>
  <c r="E14" i="1" s="1"/>
  <c r="H7" i="1"/>
  <c r="E11" i="1"/>
  <c r="G14" i="1" s="1"/>
  <c r="H9" i="1"/>
  <c r="H11" i="1" a="1"/>
  <c r="H11" i="1" s="1"/>
  <c r="I7" i="1"/>
  <c r="G11" i="1"/>
  <c r="K14" i="1" s="1"/>
  <c r="I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<sst xmlns="http://schemas.openxmlformats.org/spreadsheetml/2006/main" count="1291" uniqueCount="204">
  <si>
    <t>📊  EARLY WARNING SIGNS — OPERATIONS DASHBOARD</t>
  </si>
  <si>
    <t>TEAM-LEVEL RISK SUMMARY</t>
  </si>
  <si>
    <t>Team</t>
  </si>
  <si>
    <t>Total
Headcount</t>
  </si>
  <si>
    <t>🟢 GREEN</t>
  </si>
  <si>
    <t>🟡 YELLOW</t>
  </si>
  <si>
    <t>🔴 RED</t>
  </si>
  <si>
    <t>⚫ BLACK</t>
  </si>
  <si>
    <t>% At Risk
(RED+BLACK)</t>
  </si>
  <si>
    <t>Avg Risk Score</t>
  </si>
  <si>
    <t>Top Indicator</t>
  </si>
  <si>
    <t>Action Priority</t>
  </si>
  <si>
    <t>Team Leou</t>
  </si>
  <si>
    <t>Low Productivity</t>
  </si>
  <si>
    <t>Team Alpha</t>
  </si>
  <si>
    <t>Disengagement in Team Huddles</t>
  </si>
  <si>
    <t>Team Beta</t>
  </si>
  <si>
    <t>Decline in QA Scores</t>
  </si>
  <si>
    <t>Team Gamma</t>
  </si>
  <si>
    <t>Requesting LOA/Personal Leaves</t>
  </si>
  <si>
    <t>TOTAL / AVERAGE</t>
  </si>
  <si>
    <t>TOTAL HEADCOUNT</t>
  </si>
  <si>
    <t>🟢 STABLE</t>
  </si>
  <si>
    <t>🟡 MONITORING</t>
  </si>
  <si>
    <t>🔴 HIGH RISK</t>
  </si>
  <si>
    <t>⚫ CONFIRMED ATTRITION</t>
  </si>
  <si>
    <t>💡  NAVIGATION: Use the sheet tabs below to switch between teams. Update Risk Status in each team tab — this Dashboard updates automatically via formulas. Employees marked ⚫ BLACK should be copied to the '⚫ Confirmed Attrition' sheet.</t>
  </si>
  <si>
    <t>🔍  EARLY WARNING SIGNS TRACKER  —  TEAM LEOU</t>
  </si>
  <si>
    <t>#</t>
  </si>
  <si>
    <t>Employee Name</t>
  </si>
  <si>
    <t>Position</t>
  </si>
  <si>
    <t>Date Hired</t>
  </si>
  <si>
    <t>Risk Status</t>
  </si>
  <si>
    <t>Frequent Tardiness</t>
  </si>
  <si>
    <t>Increased Absences</t>
  </si>
  <si>
    <t>Job Hunting Signals</t>
  </si>
  <si>
    <t>Conflicts with Teammates</t>
  </si>
  <si>
    <t>Decline in QA/NPS Scores</t>
  </si>
  <si>
    <t>Reduced Initiative</t>
  </si>
  <si>
    <t>Withdrawal from Social Activities</t>
  </si>
  <si>
    <t>With Active CAP?</t>
  </si>
  <si>
    <t>Risk Score</t>
  </si>
  <si>
    <t>Rating for the past 3 months</t>
  </si>
  <si>
    <t>TL Notes</t>
  </si>
  <si>
    <t>Last Updated</t>
  </si>
  <si>
    <t>Xena Garcia</t>
  </si>
  <si>
    <t>QA Analyst</t>
  </si>
  <si>
    <t>03/01/2020</t>
  </si>
  <si>
    <t>YES</t>
  </si>
  <si>
    <t>NO</t>
  </si>
  <si>
    <t>Jose Concepcion</t>
  </si>
  <si>
    <t>Subject Matter Expert</t>
  </si>
  <si>
    <t>09/01/2022</t>
  </si>
  <si>
    <t>Ivy Dela Cruz</t>
  </si>
  <si>
    <t>Trainer</t>
  </si>
  <si>
    <t>12/01/2019</t>
  </si>
  <si>
    <t>Trisha Ramos</t>
  </si>
  <si>
    <t>Senior Specialist</t>
  </si>
  <si>
    <t>09/01/2023</t>
  </si>
  <si>
    <t>Ems Garcia</t>
  </si>
  <si>
    <t>02/01/2019</t>
  </si>
  <si>
    <t>Alma Concepcion</t>
  </si>
  <si>
    <t>09/01/2020</t>
  </si>
  <si>
    <t>Ric Cruz</t>
  </si>
  <si>
    <t>10/01/2019</t>
  </si>
  <si>
    <t>Uma Mendoza</t>
  </si>
  <si>
    <t>05/01/2020</t>
  </si>
  <si>
    <t>Ana Santos</t>
  </si>
  <si>
    <t>PA Specialist</t>
  </si>
  <si>
    <t>11/01/2019</t>
  </si>
  <si>
    <t>Carlo Flores</t>
  </si>
  <si>
    <t>04/01/2020</t>
  </si>
  <si>
    <t>Trisha Rivera</t>
  </si>
  <si>
    <t>01/01/2023</t>
  </si>
  <si>
    <t>Val Santos</t>
  </si>
  <si>
    <t>05/01/2022</t>
  </si>
  <si>
    <t>Sara Flores</t>
  </si>
  <si>
    <t>Team Lead Support</t>
  </si>
  <si>
    <t>Ces Gonzales</t>
  </si>
  <si>
    <t>Ben Delos Santos</t>
  </si>
  <si>
    <t>10/01/2023</t>
  </si>
  <si>
    <t>Iris Dela Cruz</t>
  </si>
  <si>
    <t>08/01/2019</t>
  </si>
  <si>
    <t>Kath Perez</t>
  </si>
  <si>
    <t>08/01/2020</t>
  </si>
  <si>
    <t>Ivy Ocampo</t>
  </si>
  <si>
    <t>03/01/2023</t>
  </si>
  <si>
    <t>Maria Peralta</t>
  </si>
  <si>
    <t>🔍  EARLY WARNING SIGNS TRACKER  —  TEAM ALPHA</t>
  </si>
  <si>
    <t>Donna Soriano</t>
  </si>
  <si>
    <t>Jake Bautista</t>
  </si>
  <si>
    <t>06/01/2019</t>
  </si>
  <si>
    <t>Ivy Ramos</t>
  </si>
  <si>
    <t>03/01/2019</t>
  </si>
  <si>
    <t>Gio Peralta</t>
  </si>
  <si>
    <t>05/01/2021</t>
  </si>
  <si>
    <t>Dan Garcia</t>
  </si>
  <si>
    <t>06/01/2023</t>
  </si>
  <si>
    <t>Carlo Tan</t>
  </si>
  <si>
    <t>07/01/2021</t>
  </si>
  <si>
    <t>Liza Villanueva</t>
  </si>
  <si>
    <t>02/01/2022</t>
  </si>
  <si>
    <t>Eve Lopez</t>
  </si>
  <si>
    <t>Cris Ocampo</t>
  </si>
  <si>
    <t>10/01/2022</t>
  </si>
  <si>
    <t>Ana Concepcion</t>
  </si>
  <si>
    <t>Lito Delos Santos</t>
  </si>
  <si>
    <t>07/01/2022</t>
  </si>
  <si>
    <t>Mark Valencia</t>
  </si>
  <si>
    <t>08/01/2023</t>
  </si>
  <si>
    <t>Grace Cruz</t>
  </si>
  <si>
    <t>12/01/2023</t>
  </si>
  <si>
    <t>Sara Aquino</t>
  </si>
  <si>
    <t>Xena Lopez</t>
  </si>
  <si>
    <t>12/01/2022</t>
  </si>
  <si>
    <t>Fred Perez</t>
  </si>
  <si>
    <t>Faith Soriano</t>
  </si>
  <si>
    <t>Rosa Reyes</t>
  </si>
  <si>
    <t>Zach Dela Cruz</t>
  </si>
  <si>
    <t>04/01/2021</t>
  </si>
  <si>
    <t>🔍  EARLY WARNING SIGNS TRACKER  —  TEAM BETA</t>
  </si>
  <si>
    <t>Gem Aquino</t>
  </si>
  <si>
    <t>Carlo Dizon</t>
  </si>
  <si>
    <t>Trisha Dizon</t>
  </si>
  <si>
    <t>05/01/2019</t>
  </si>
  <si>
    <t>Liza Tan</t>
  </si>
  <si>
    <t>09/01/2021</t>
  </si>
  <si>
    <t>Ivy Castillo</t>
  </si>
  <si>
    <t>Xena Miranda</t>
  </si>
  <si>
    <t>Fred Torres</t>
  </si>
  <si>
    <t>Fred Villanueva</t>
  </si>
  <si>
    <t>12/01/2020</t>
  </si>
  <si>
    <t>Gio Hernandez</t>
  </si>
  <si>
    <t>Ivy Soriano</t>
  </si>
  <si>
    <t>Alma Gonzales</t>
  </si>
  <si>
    <t>05/01/2023</t>
  </si>
  <si>
    <t>Rosa Lopez</t>
  </si>
  <si>
    <t>09/01/2019</t>
  </si>
  <si>
    <t>Xena Torres</t>
  </si>
  <si>
    <t>Ric Concepcion</t>
  </si>
  <si>
    <t>04/01/2019</t>
  </si>
  <si>
    <t>Ramon Torres</t>
  </si>
  <si>
    <t>07/01/2023</t>
  </si>
  <si>
    <t>Lito Tan</t>
  </si>
  <si>
    <t>Ivy Valencia</t>
  </si>
  <si>
    <t>12/01/2021</t>
  </si>
  <si>
    <t>Xena Soriano</t>
  </si>
  <si>
    <t>02/01/2020</t>
  </si>
  <si>
    <t>Sara Dela Cruz</t>
  </si>
  <si>
    <t>🔍  EARLY WARNING SIGNS TRACKER  —  TEAM GAMMA</t>
  </si>
  <si>
    <t>Alma Bautista</t>
  </si>
  <si>
    <t>Gem Peralta</t>
  </si>
  <si>
    <t>Juan Dela Cruz</t>
  </si>
  <si>
    <t>Ana Ocampo</t>
  </si>
  <si>
    <t>01/01/2022</t>
  </si>
  <si>
    <t>Bea Tan</t>
  </si>
  <si>
    <t>Ivy Cruz</t>
  </si>
  <si>
    <t>Gio Valencia</t>
  </si>
  <si>
    <t>Ted Magno</t>
  </si>
  <si>
    <t>Ces Bautista</t>
  </si>
  <si>
    <t>08/01/2022</t>
  </si>
  <si>
    <t>Gio Gonzales</t>
  </si>
  <si>
    <t>Neil Tan</t>
  </si>
  <si>
    <t>07/01/2020</t>
  </si>
  <si>
    <t>Yam Castillo</t>
  </si>
  <si>
    <t>Rex Lim</t>
  </si>
  <si>
    <t>01/01/2021</t>
  </si>
  <si>
    <t>Jenny Dela Cruz</t>
  </si>
  <si>
    <t>Ems Delos Santos</t>
  </si>
  <si>
    <t>08/01/2021</t>
  </si>
  <si>
    <t>Ric Lim</t>
  </si>
  <si>
    <t>Ems Perez</t>
  </si>
  <si>
    <t>Jake Magno</t>
  </si>
  <si>
    <t>Uma Tan</t>
  </si>
  <si>
    <t>⚫  CONFIRMED ATTRITION REGISTER  —  All Teams</t>
  </si>
  <si>
    <t>Confirmed Date</t>
  </si>
  <si>
    <t>Last Risk Status</t>
  </si>
  <si>
    <t>03/01/2021</t>
  </si>
  <si>
    <t>04/10/2025</t>
  </si>
  <si>
    <t>Resignation confirmed.</t>
  </si>
  <si>
    <t>📌  HOW TO USE: Go to any Team sheet → change Risk Status to '⚫ BLACK' → manually copy that row here OR use the Macro button on the Dashboard to auto-transfer.</t>
  </si>
  <si>
    <t>📋  LEGEND &amp; USER GUIDE</t>
  </si>
  <si>
    <t>STATUS</t>
  </si>
  <si>
    <t>MEANING</t>
  </si>
  <si>
    <t>ACTION REQUIRED</t>
  </si>
  <si>
    <t>Employee is engaged and performing well.</t>
  </si>
  <si>
    <t>Continue regular check-ins and recognition.</t>
  </si>
  <si>
    <t>Mild warning signs present (1–3 indicators).</t>
  </si>
  <si>
    <t>Schedule 1-on-1 coaching. Document observations.</t>
  </si>
  <si>
    <t>Multiple warning signs (4–7 indicators). High flight risk.</t>
  </si>
  <si>
    <t>Immediate retention conversation. Escalate to HR if needed.</t>
  </si>
  <si>
    <t>Confirmed resignation or termination.</t>
  </si>
  <si>
    <t>Transfer to Confirmed Attrition sheet. Begin transition plan.</t>
  </si>
  <si>
    <t>WARNING INDICATORS EXPLAINED</t>
  </si>
  <si>
    <t>Arriving late consistently (3+ times/week).</t>
  </si>
  <si>
    <t>Unplanned or unexcused absences rising.</t>
  </si>
  <si>
    <t>Consistent miss of daily/weekly targets.</t>
  </si>
  <si>
    <t>Not participating, camera-off, unresponsive.</t>
  </si>
  <si>
    <t>LinkedIn activity, interviews, vague schedule blocks.</t>
  </si>
  <si>
    <t>Tension, complaints, or friction with peers.</t>
  </si>
  <si>
    <t>QA average dropping below 98%.</t>
  </si>
  <si>
    <t>No longer taking on extra tasks or projects.</t>
  </si>
  <si>
    <t>Increase in leave requests or personal time.</t>
  </si>
  <si>
    <t>No longer joining team events or celebrations.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</si>
</sst>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9">
    <font>
      <sz val="11"/>
      <color theme="1"/>
      <name val="Calibri"/>
      <family val="2"/>
      <charset val="1"/>
    </font>
    <font>
      <b/>
      <sz val="18"/>
      <color rgb="FFC9A84C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1E7E1E"/>
      <name val="Arial"/>
      <charset val="1"/>
    </font>
    <font>
      <b/>
      <sz val="11"/>
      <color rgb="FF856404"/>
      <name val="Arial"/>
      <charset val="1"/>
    </font>
    <font>
      <b/>
      <sz val="11"/>
      <color rgb="FFB22222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b/>
      <sz val="9"/>
      <color rgb="FFC9A84C"/>
      <name val="Arial"/>
      <charset val="1"/>
    </font>
    <font>
      <b/>
      <sz val="9"/>
      <color rgb="FF1E7E1E"/>
      <name val="Arial"/>
      <charset val="1"/>
    </font>
    <font>
      <b/>
      <sz val="9"/>
      <color rgb="FF856404"/>
      <name val="Arial"/>
      <charset val="1"/>
    </font>
    <font>
      <b/>
      <sz val="9"/>
      <color rgb="FFB22222"/>
      <name val="Arial"/>
      <charset val="1"/>
    </font>
    <font>
      <b/>
      <sz val="9"/>
      <color rgb="FFFFFFFF"/>
      <name val="Arial"/>
      <charset val="1"/>
    </font>
    <font>
      <b/>
      <sz val="22"/>
      <color rgb="FFC9A84C"/>
      <name val="Arial"/>
      <charset val="1"/>
    </font>
    <font>
      <b/>
      <sz val="22"/>
      <color rgb="FF1E7E1E"/>
      <name val="Arial"/>
      <charset val="1"/>
    </font>
    <font>
      <b/>
      <sz val="22"/>
      <color rgb="FF856404"/>
      <name val="Arial"/>
      <charset val="1"/>
    </font>
    <font>
      <b/>
      <sz val="22"/>
      <color rgb="FFB22222"/>
      <name val="Arial"/>
      <charset val="1"/>
    </font>
    <font>
      <b/>
      <sz val="22"/>
      <color rgb="FFFFFFFF"/>
      <name val="Arial"/>
      <charset val="1"/>
    </font>
    <font>
      <i/>
      <sz val="9"/>
      <color rgb="FF1B3A6B"/>
      <name val="Arial"/>
      <charset val="1"/>
    </font>
    <font>
      <b/>
      <sz val="16"/>
      <color rgb="FFC9A84C"/>
      <name val="Arial"/>
      <charset val="1"/>
    </font>
    <font>
      <sz val="10"/>
      <color rgb="FF888888"/>
      <name val="Arial"/>
      <charset val="1"/>
    </font>
    <font>
      <i/>
      <sz val="10"/>
      <color rgb="FF555555"/>
      <name val="Arial"/>
      <charset val="1"/>
    </font>
    <font>
      <b/>
      <sz val="16"/>
      <color rgb="FFFFFFFF"/>
      <name val="Arial"/>
      <charset val="1"/>
    </font>
    <font>
      <b/>
      <sz val="10"/>
      <color rgb="FF1E7E1E"/>
      <name val="Arial"/>
      <charset val="1"/>
    </font>
    <font>
      <b/>
      <sz val="10"/>
      <color rgb="FF856404"/>
      <name val="Arial"/>
      <charset val="1"/>
    </font>
    <font>
      <b/>
      <sz val="10"/>
      <color rgb="FFB22222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A6B"/>
        <bgColor rgb="FF2E5090"/>
      </patternFill>
    </fill>
    <fill>
      <patternFill patternType="solid">
        <fgColor rgb="FF2E5090"/>
        <bgColor rgb="FF1B3A6B"/>
      </patternFill>
    </fill>
    <fill>
      <patternFill patternType="solid">
        <fgColor rgb="FFEEF2F8"/>
        <bgColor rgb="FFFDF3DC"/>
      </patternFill>
    </fill>
    <fill>
      <patternFill patternType="solid">
        <fgColor rgb="FFD6F5D6"/>
        <bgColor rgb="FFCCFFFF"/>
      </patternFill>
    </fill>
    <fill>
      <patternFill patternType="solid">
        <fgColor rgb="FFFFF3CC"/>
        <bgColor rgb="FFFDF3DC"/>
      </patternFill>
    </fill>
    <fill>
      <patternFill patternType="solid">
        <fgColor rgb="FFFFD6D6"/>
        <bgColor rgb="FFFDF3DC"/>
      </patternFill>
    </fill>
    <fill>
      <patternFill patternType="solid">
        <fgColor rgb="FF2D2D2D"/>
        <bgColor rgb="FF333300"/>
      </patternFill>
    </fill>
    <fill>
      <patternFill patternType="solid">
        <fgColor rgb="FFFFFFFF"/>
        <bgColor rgb="FFEEF2F8"/>
      </patternFill>
    </fill>
    <fill>
      <patternFill patternType="solid">
        <fgColor rgb="FFFDF3DC"/>
        <bgColor rgb="FFFFF3CC"/>
      </patternFill>
    </fill>
  </fills>
  <borders count="7">
    <border>
      <left/>
      <right/>
      <top/>
      <bottom/>
      <diagonal/>
    </border>
    <border>
      <left style="medium">
        <color rgb="FFC9A84C"/>
      </left>
      <right/>
      <top style="medium">
        <color rgb="FFC9A84C"/>
      </top>
      <bottom style="medium">
        <color rgb="FFC9A84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C9A84C"/>
      </left>
      <right/>
      <top style="thin">
        <color rgb="FFC9A84C"/>
      </top>
      <bottom style="thin">
        <color rgb="FFC9A84C"/>
      </bottom>
      <diagonal/>
    </border>
    <border>
      <left style="thin">
        <color rgb="FFC9A84C"/>
      </left>
      <right style="thin">
        <color rgb="FFC9A84C"/>
      </right>
      <top style="medium">
        <color rgb="FFC9A84C"/>
      </top>
      <bottom style="medium">
        <color rgb="FFC9A84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164" fontId="10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164" fontId="10" fillId="9" borderId="2" xfId="0" applyNumberFormat="1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164" fontId="9" fillId="2" borderId="2" xfId="0" applyNumberFormat="1" applyFont="1" applyFill="1" applyBorder="1" applyAlignment="1">
      <alignment horizontal="center" vertical="center" wrapText="1"/>
    </xf>
    <xf numFmtId="165" fontId="9" fillId="2" borderId="2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left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left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left" vertical="center" wrapText="1"/>
    </xf>
    <xf numFmtId="0" fontId="28" fillId="7" borderId="2" xfId="0" applyFont="1" applyFill="1" applyBorder="1" applyAlignment="1">
      <alignment horizontal="center" vertical="center" wrapText="1"/>
    </xf>
    <xf numFmtId="0" fontId="28" fillId="7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1" fillId="2" borderId="3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21" fillId="10" borderId="5" xfId="0" applyFont="1" applyFill="1" applyBorder="1" applyAlignment="1">
      <alignment horizontal="left" vertical="center" wrapText="1"/>
    </xf>
    <xf numFmtId="0" fontId="16" fillId="2" borderId="4" xfId="0" applyFont="1" applyFill="1" applyBorder="1" applyAlignment="1">
      <alignment horizontal="center" vertical="top"/>
    </xf>
    <xf numFmtId="0" fontId="17" fillId="5" borderId="4" xfId="0" applyFont="1" applyFill="1" applyBorder="1" applyAlignment="1">
      <alignment horizontal="center" vertical="top"/>
    </xf>
    <xf numFmtId="0" fontId="18" fillId="6" borderId="4" xfId="0" applyFont="1" applyFill="1" applyBorder="1" applyAlignment="1">
      <alignment horizontal="center" vertical="top"/>
    </xf>
    <xf numFmtId="0" fontId="19" fillId="7" borderId="4" xfId="0" applyFont="1" applyFill="1" applyBorder="1" applyAlignment="1">
      <alignment horizontal="center" vertical="top"/>
    </xf>
    <xf numFmtId="0" fontId="20" fillId="8" borderId="4" xfId="0" applyFont="1" applyFill="1" applyBorder="1" applyAlignment="1">
      <alignment horizontal="center" vertical="top"/>
    </xf>
    <xf numFmtId="0" fontId="22" fillId="2" borderId="1" xfId="0" applyFont="1" applyFill="1" applyBorder="1" applyAlignment="1">
      <alignment horizontal="center" vertical="center" wrapText="1"/>
    </xf>
    <xf numFmtId="0" fontId="25" fillId="8" borderId="0" xfId="0" applyFont="1" applyFill="1" applyAlignment="1">
      <alignment horizontal="center" vertical="center" wrapText="1"/>
    </xf>
    <xf numFmtId="0" fontId="21" fillId="10" borderId="0" xfId="0" applyFont="1" applyFill="1" applyAlignment="1">
      <alignment horizontal="left" vertical="center" wrapText="1"/>
    </xf>
    <xf numFmtId="0" fontId="22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33">
    <dxf>
      <font>
        <b/>
        <color rgb="FFFFFFFF"/>
        <name val="Arial"/>
        <charset val="1"/>
      </font>
      <fill>
        <patternFill>
          <bgColor rgb="FF2D2D2D"/>
        </patternFill>
      </fill>
    </dxf>
    <dxf>
      <font>
        <b/>
        <color rgb="FFB22222"/>
        <name val="Arial"/>
        <charset val="1"/>
      </font>
      <fill>
        <patternFill>
          <bgColor rgb="FFFFD6D6"/>
        </patternFill>
      </fill>
    </dxf>
    <dxf>
      <font>
        <b/>
        <color rgb="FF856404"/>
        <name val="Arial"/>
        <charset val="1"/>
      </font>
      <fill>
        <patternFill>
          <bgColor rgb="FFFFF3CC"/>
        </patternFill>
      </fill>
    </dxf>
    <dxf>
      <font>
        <b/>
        <color rgb="FF1E7E1E"/>
        <name val="Arial"/>
        <charset val="1"/>
      </font>
      <fill>
        <patternFill>
          <bgColor rgb="FFD6F5D6"/>
        </patternFill>
      </fill>
    </dxf>
    <dxf>
      <font>
        <b/>
        <color rgb="FFFFFFFF"/>
        <name val="Arial"/>
        <charset val="1"/>
      </font>
      <fill>
        <patternFill>
          <bgColor rgb="FF2D2D2D"/>
        </patternFill>
      </fill>
    </dxf>
    <dxf>
      <font>
        <b/>
        <color rgb="FFB22222"/>
        <name val="Arial"/>
        <charset val="1"/>
      </font>
      <fill>
        <patternFill>
          <bgColor rgb="FFFFD6D6"/>
        </patternFill>
      </fill>
    </dxf>
    <dxf>
      <font>
        <b/>
        <color rgb="FF856404"/>
        <name val="Arial"/>
        <charset val="1"/>
      </font>
      <fill>
        <patternFill>
          <bgColor rgb="FFFFF3CC"/>
        </patternFill>
      </fill>
    </dxf>
    <dxf>
      <font>
        <b/>
        <color rgb="FF1E7E1E"/>
        <name val="Arial"/>
        <charset val="1"/>
      </font>
      <fill>
        <patternFill>
          <bgColor rgb="FFD6F5D6"/>
        </patternFill>
      </fill>
    </dxf>
    <dxf>
      <font>
        <b/>
        <color rgb="FFFFFFFF"/>
        <name val="Arial"/>
        <charset val="1"/>
      </font>
      <fill>
        <patternFill>
          <bgColor rgb="FF2D2D2D"/>
        </patternFill>
      </fill>
    </dxf>
    <dxf>
      <font>
        <b/>
        <color rgb="FFB22222"/>
        <name val="Arial"/>
        <charset val="1"/>
      </font>
      <fill>
        <patternFill>
          <bgColor rgb="FFFFD6D6"/>
        </patternFill>
      </fill>
    </dxf>
    <dxf>
      <font>
        <b/>
        <color rgb="FF856404"/>
        <name val="Arial"/>
        <charset val="1"/>
      </font>
      <fill>
        <patternFill>
          <bgColor rgb="FFFFF3CC"/>
        </patternFill>
      </fill>
    </dxf>
    <dxf>
      <font>
        <b/>
        <color rgb="FF1E7E1E"/>
        <name val="Arial"/>
        <charset val="1"/>
      </font>
      <fill>
        <patternFill>
          <bgColor rgb="FFD6F5D6"/>
        </patternFill>
      </fill>
    </dxf>
    <dxf>
      <font>
        <b/>
        <color rgb="FFFFFFFF"/>
        <name val="Arial"/>
        <charset val="1"/>
      </font>
      <fill>
        <patternFill>
          <bgColor rgb="FF2D2D2D"/>
        </patternFill>
      </fill>
    </dxf>
    <dxf>
      <font>
        <b/>
        <color rgb="FFB22222"/>
        <name val="Arial"/>
        <charset val="1"/>
      </font>
      <fill>
        <patternFill>
          <bgColor rgb="FFFFD6D6"/>
        </patternFill>
      </fill>
    </dxf>
    <dxf>
      <font>
        <b/>
        <color rgb="FF856404"/>
        <name val="Arial"/>
        <charset val="1"/>
      </font>
      <fill>
        <patternFill>
          <bgColor rgb="FFFFF3CC"/>
        </patternFill>
      </fill>
    </dxf>
    <dxf>
      <font>
        <b/>
        <color rgb="FF1E7E1E"/>
        <name val="Arial"/>
        <charset val="1"/>
      </font>
      <fill>
        <patternFill>
          <bgColor rgb="FFD6F5D6"/>
        </patternFill>
      </fill>
    </dxf>
    <dxf>
      <font>
        <b/>
        <color rgb="FFFFFFFF"/>
        <name val="Arial"/>
        <charset val="1"/>
      </font>
      <fill>
        <patternFill>
          <bgColor rgb="FF2D2D2D"/>
        </patternFill>
      </fill>
    </dxf>
    <dxf>
      <font>
        <b/>
        <color rgb="FFB22222"/>
        <name val="Arial"/>
        <charset val="1"/>
      </font>
      <fill>
        <patternFill>
          <bgColor rgb="FFFFD6D6"/>
        </patternFill>
      </fill>
    </dxf>
    <dxf>
      <font>
        <b/>
        <color rgb="FF856404"/>
        <name val="Arial"/>
        <charset val="1"/>
      </font>
      <fill>
        <patternFill>
          <bgColor rgb="FFFFF3CC"/>
        </patternFill>
      </fill>
    </dxf>
    <dxf>
      <font>
        <b/>
        <color rgb="FF1E7E1E"/>
        <name val="Arial"/>
        <charset val="1"/>
      </font>
      <fill>
        <patternFill>
          <bgColor rgb="FFD6F5D6"/>
        </patternFill>
      </fill>
    </dxf>
    <dxf>
      <font>
        <b/>
        <color rgb="FFFFFFFF"/>
        <name val="Arial"/>
        <charset val="1"/>
      </font>
      <fill>
        <patternFill>
          <bgColor rgb="FF2D2D2D"/>
        </patternFill>
      </fill>
    </dxf>
    <dxf>
      <font>
        <b/>
        <color rgb="FFB22222"/>
        <name val="Arial"/>
        <charset val="1"/>
      </font>
      <fill>
        <patternFill>
          <bgColor rgb="FFFFD6D6"/>
        </patternFill>
      </fill>
    </dxf>
    <dxf>
      <font>
        <b/>
        <color rgb="FF856404"/>
        <name val="Arial"/>
        <charset val="1"/>
      </font>
      <fill>
        <patternFill>
          <bgColor rgb="FFFFF3CC"/>
        </patternFill>
      </fill>
    </dxf>
    <dxf>
      <font>
        <b/>
        <color rgb="FF1E7E1E"/>
        <name val="Arial"/>
        <charset val="1"/>
      </font>
      <fill>
        <patternFill>
          <bgColor rgb="FFD6F5D6"/>
        </patternFill>
      </fill>
    </dxf>
    <dxf>
      <font>
        <color rgb="FFFF0000"/>
      </font>
    </dxf>
    <dxf>
      <font>
        <b/>
        <color rgb="FFFFFFFF"/>
        <name val="Arial"/>
        <charset val="1"/>
      </font>
      <fill>
        <patternFill>
          <bgColor rgb="FF2D2D2D"/>
        </patternFill>
      </fill>
    </dxf>
    <dxf>
      <font>
        <b/>
        <color rgb="FFB22222"/>
        <name val="Arial"/>
        <charset val="1"/>
      </font>
      <fill>
        <patternFill>
          <bgColor rgb="FFFFD6D6"/>
        </patternFill>
      </fill>
    </dxf>
    <dxf>
      <font>
        <b/>
        <color rgb="FF856404"/>
        <name val="Arial"/>
        <charset val="1"/>
      </font>
      <fill>
        <patternFill>
          <bgColor rgb="FFFFF3CC"/>
        </patternFill>
      </fill>
    </dxf>
    <dxf>
      <font>
        <b/>
        <color rgb="FF1E7E1E"/>
        <name val="Arial"/>
        <charset val="1"/>
      </font>
      <fill>
        <patternFill>
          <bgColor rgb="FFD6F5D6"/>
        </patternFill>
      </fill>
    </dxf>
    <dxf>
      <font>
        <b/>
        <color rgb="FFFFFFFF"/>
        <name val="Arial"/>
        <charset val="1"/>
      </font>
      <fill>
        <patternFill>
          <bgColor rgb="FF2D2D2D"/>
        </patternFill>
      </fill>
    </dxf>
    <dxf>
      <font>
        <b/>
        <color rgb="FFB22222"/>
        <name val="Arial"/>
        <charset val="1"/>
      </font>
      <fill>
        <patternFill>
          <bgColor rgb="FFFFD6D6"/>
        </patternFill>
      </fill>
    </dxf>
    <dxf>
      <font>
        <b/>
        <color rgb="FF856404"/>
        <name val="Arial"/>
        <charset val="1"/>
      </font>
      <fill>
        <patternFill>
          <bgColor rgb="FFFFF3CC"/>
        </patternFill>
      </fill>
    </dxf>
    <dxf>
      <font>
        <b/>
        <color rgb="FF1E7E1E"/>
        <name val="Arial"/>
        <charset val="1"/>
      </font>
      <fill>
        <patternFill>
          <bgColor rgb="FFD6F5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1E"/>
      <rgbColor rgb="FF000080"/>
      <rgbColor rgb="FF856404"/>
      <rgbColor rgb="FF800080"/>
      <rgbColor rgb="FF008080"/>
      <rgbColor rgb="FFCCCCCC"/>
      <rgbColor rgb="FF888888"/>
      <rgbColor rgb="FF9999FF"/>
      <rgbColor rgb="FF993366"/>
      <rgbColor rgb="FFFFF3CC"/>
      <rgbColor rgb="FFEE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5D6"/>
      <rgbColor rgb="FFFDF3DC"/>
      <rgbColor rgb="FF99CCFF"/>
      <rgbColor rgb="FFFF99CC"/>
      <rgbColor rgb="FFCC99FF"/>
      <rgbColor rgb="FFFFD6D6"/>
      <rgbColor rgb="FF3366FF"/>
      <rgbColor rgb="FF33CCCC"/>
      <rgbColor rgb="FF99CC00"/>
      <rgbColor rgb="FFFFCC00"/>
      <rgbColor rgb="FFFF9900"/>
      <rgbColor rgb="FFFF6600"/>
      <rgbColor rgb="FF555555"/>
      <rgbColor rgb="FFC9A84C"/>
      <rgbColor rgb="FF1B3A6B"/>
      <rgbColor rgb="FF339966"/>
      <rgbColor rgb="FF003300"/>
      <rgbColor rgb="FF333300"/>
      <rgbColor rgb="FFB22222"/>
      <rgbColor rgb="FF993366"/>
      <rgbColor rgb="FF2E5090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6B"/>
  </sheetPr>
  <dimension ref="B1:L16"/>
  <sheetViews>
    <sheetView showGridLines="0" tabSelected="1" zoomScaleNormal="100" workbookViewId="0">
      <selection activeCell="F8" sqref="F8"/>
    </sheetView>
  </sheetViews>
  <sheetFormatPr defaultColWidth="8.7109375" defaultRowHeight="14.45"/>
  <cols>
    <col min="1" max="1" width="3" customWidth="1"/>
    <col min="2" max="10" width="16" customWidth="1"/>
    <col min="11" max="11" width="22" customWidth="1"/>
    <col min="12" max="12" width="16" customWidth="1"/>
  </cols>
  <sheetData>
    <row r="1" spans="2:12" ht="7.5" customHeight="1"/>
    <row r="2" spans="2:12" ht="49.5" customHeight="1">
      <c r="B2" s="37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2:12" ht="7.5" customHeight="1"/>
    <row r="4" spans="2:12" ht="7.5" customHeight="1"/>
    <row r="5" spans="2:12" ht="15" customHeight="1">
      <c r="B5" s="38" t="s">
        <v>1</v>
      </c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2:12" ht="36" customHeight="1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</row>
    <row r="7" spans="2:12" ht="24" customHeight="1">
      <c r="B7" s="2" t="s">
        <v>12</v>
      </c>
      <c r="C7" s="3">
        <v>19</v>
      </c>
      <c r="D7" s="4">
        <f>COUNTIF('Team Leou'!F5:F23,"*GREEN*")</f>
        <v>5</v>
      </c>
      <c r="E7" s="5">
        <f>COUNTIF('Team Leou'!F5:F23,"*YELLOW*")</f>
        <v>1</v>
      </c>
      <c r="F7" s="6">
        <f>COUNTIF('Team Leou'!F5:F23,F6)</f>
        <v>6</v>
      </c>
      <c r="G7" s="7">
        <f>COUNTIF('Team Leou'!$F$5:$F$23,G6)</f>
        <v>7</v>
      </c>
      <c r="H7" s="8">
        <f>IFERROR((F7+G7)/C7,0)</f>
        <v>0.68421052631578949</v>
      </c>
      <c r="I7" s="9">
        <f>IFERROR(AVERAGE('Team Leou'!R5:R23),0)</f>
        <v>5.5789473684210522</v>
      </c>
      <c r="J7" s="10" t="s">
        <v>13</v>
      </c>
      <c r="K7" s="11" t="str">
        <f>IF(G7&gt;0,"🚨 IMMEDIATE",IF(F7&gt;0,"⚠️ HIGH",IF(E7&gt;0,"📋 MONITOR","✅ STABLE")))</f>
        <v>🚨 IMMEDIATE</v>
      </c>
    </row>
    <row r="8" spans="2:12" ht="24" customHeight="1">
      <c r="B8" s="12" t="s">
        <v>14</v>
      </c>
      <c r="C8" s="13">
        <v>19</v>
      </c>
      <c r="D8" s="4">
        <f>COUNTIF('Team Alpha'!F5:F23,"*GREEN*")</f>
        <v>5</v>
      </c>
      <c r="E8" s="5">
        <f>COUNTIF('Team Alpha'!F5:F23,"*YELLOW*")</f>
        <v>6</v>
      </c>
      <c r="F8" s="6">
        <f>COUNTIF('Team Alpha'!F5:F23,"*RED*")</f>
        <v>3</v>
      </c>
      <c r="G8" s="7">
        <f>COUNTIF('Team Alpha'!F5:F23,G6)</f>
        <v>5</v>
      </c>
      <c r="H8" s="14">
        <f>IFERROR((F8+G8)/C8,0)</f>
        <v>0.42105263157894735</v>
      </c>
      <c r="I8" s="9">
        <f>IFERROR(AVERAGE('Team Leou'!R6:R24),0)</f>
        <v>5.5</v>
      </c>
      <c r="J8" s="15" t="s">
        <v>15</v>
      </c>
      <c r="K8" s="16" t="str">
        <f>IF(G8&gt;0,"🚨 IMMEDIATE",IF(F8&gt;0,"⚠️ HIGH",IF(E8&gt;0,"📋 MONITOR","✅ STABLE")))</f>
        <v>🚨 IMMEDIATE</v>
      </c>
    </row>
    <row r="9" spans="2:12" ht="24" customHeight="1">
      <c r="B9" s="2" t="s">
        <v>16</v>
      </c>
      <c r="C9" s="3">
        <v>19</v>
      </c>
      <c r="D9" s="4">
        <f>COUNTIF('Team Beta'!F5:F23,"*GREEN*")</f>
        <v>7</v>
      </c>
      <c r="E9" s="5">
        <f>COUNTIF('Team Beta'!F5:F23,"*YELLOW*")</f>
        <v>3</v>
      </c>
      <c r="F9" s="6">
        <f>COUNTIF('Team Beta'!F5:F23,"*RED*")</f>
        <v>3</v>
      </c>
      <c r="G9" s="7">
        <f>COUNTIF('Team Beta'!F5:F23,G6)</f>
        <v>6</v>
      </c>
      <c r="H9" s="8">
        <f>IFERROR((F9+G9)/C9,0)</f>
        <v>0.47368421052631576</v>
      </c>
      <c r="I9" s="9">
        <f>IFERROR(AVERAGE('Team Leou'!R7:R25),0)</f>
        <v>5.5294117647058822</v>
      </c>
      <c r="J9" s="10" t="s">
        <v>17</v>
      </c>
      <c r="K9" s="11" t="str">
        <f>IF(G9&gt;0,"🚨 IMMEDIATE",IF(F9&gt;0,"⚠️ HIGH",IF(E9&gt;0,"📋 MONITOR","✅ STABLE")))</f>
        <v>🚨 IMMEDIATE</v>
      </c>
    </row>
    <row r="10" spans="2:12" ht="24" customHeight="1">
      <c r="B10" s="12" t="s">
        <v>18</v>
      </c>
      <c r="C10" s="13">
        <v>19</v>
      </c>
      <c r="D10" s="4">
        <f>COUNTIF('Team Gamma'!F5:F23,"*GREEN*")</f>
        <v>5</v>
      </c>
      <c r="E10" s="5">
        <f>COUNTIF('Team Gamma'!F5:F23,"*YELLOW*")</f>
        <v>4</v>
      </c>
      <c r="F10" s="6">
        <f>COUNTIF('Team Gamma'!F5:F23,"*RED*")</f>
        <v>6</v>
      </c>
      <c r="G10" s="7">
        <f>COUNTIF('Team Gamma'!F5:F23,G6)</f>
        <v>4</v>
      </c>
      <c r="H10" s="14">
        <f>IFERROR((F10+G10)/C10,0)</f>
        <v>0.52631578947368418</v>
      </c>
      <c r="I10" s="9">
        <f>IFERROR(AVERAGE('Team Leou'!R8:R26),0)</f>
        <v>5.5625</v>
      </c>
      <c r="J10" s="15" t="s">
        <v>19</v>
      </c>
      <c r="K10" s="16" t="str">
        <f>IF(G10&gt;0,"🚨 IMMEDIATE",IF(F10&gt;0,"⚠️ HIGH",IF(E10&gt;0,"📋 MONITOR","✅ STABLE")))</f>
        <v>🚨 IMMEDIATE</v>
      </c>
    </row>
    <row r="11" spans="2:12" ht="25.5" customHeight="1">
      <c r="B11" s="17" t="s">
        <v>20</v>
      </c>
      <c r="C11" s="18">
        <f>SUM(C7:C10)</f>
        <v>76</v>
      </c>
      <c r="D11" s="18">
        <f>SUM(D7:D10)</f>
        <v>22</v>
      </c>
      <c r="E11" s="18">
        <f>SUM(E7:E10)</f>
        <v>14</v>
      </c>
      <c r="F11" s="18">
        <f>SUM(F7:F10)</f>
        <v>18</v>
      </c>
      <c r="G11" s="18">
        <f>SUM(G7:G10)</f>
        <v>22</v>
      </c>
      <c r="H11" s="19" cm="1">
        <f t="array" ref="H11">IFERROR(SUM(F7:F10+G7:G10)/SUM(C7:C10),0)</f>
        <v>0.52631578947368418</v>
      </c>
      <c r="I11" s="20">
        <f>AVERAGE(I7:I10)</f>
        <v>5.5427147832817329</v>
      </c>
    </row>
    <row r="12" spans="2:12" ht="12" customHeight="1"/>
    <row r="13" spans="2:12" ht="51.75" customHeight="1">
      <c r="B13" s="39" t="s">
        <v>21</v>
      </c>
      <c r="C13" s="39"/>
      <c r="D13" s="39"/>
      <c r="E13" s="40" t="s">
        <v>22</v>
      </c>
      <c r="F13" s="40"/>
      <c r="G13" s="41" t="s">
        <v>23</v>
      </c>
      <c r="H13" s="41"/>
      <c r="I13" s="42" t="s">
        <v>24</v>
      </c>
      <c r="J13" s="42"/>
      <c r="K13" s="43" t="s">
        <v>25</v>
      </c>
      <c r="L13" s="43"/>
    </row>
    <row r="14" spans="2:12" ht="39.75" customHeight="1">
      <c r="B14" s="45">
        <f>C11</f>
        <v>76</v>
      </c>
      <c r="C14" s="45"/>
      <c r="D14" s="45"/>
      <c r="E14" s="46">
        <f>D11</f>
        <v>22</v>
      </c>
      <c r="F14" s="46"/>
      <c r="G14" s="47">
        <f>E11</f>
        <v>14</v>
      </c>
      <c r="H14" s="47"/>
      <c r="I14" s="48">
        <f>F11</f>
        <v>18</v>
      </c>
      <c r="J14" s="48"/>
      <c r="K14" s="49">
        <f>G11</f>
        <v>22</v>
      </c>
      <c r="L14" s="49"/>
    </row>
    <row r="16" spans="2:12" ht="27.75" customHeight="1">
      <c r="B16" s="44" t="s">
        <v>26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</row>
  </sheetData>
  <mergeCells count="13">
    <mergeCell ref="B16:L16"/>
    <mergeCell ref="B14:D14"/>
    <mergeCell ref="E14:F14"/>
    <mergeCell ref="G14:H14"/>
    <mergeCell ref="I14:J14"/>
    <mergeCell ref="K14:L14"/>
    <mergeCell ref="B2:L2"/>
    <mergeCell ref="B5:L5"/>
    <mergeCell ref="B13:D13"/>
    <mergeCell ref="E13:F13"/>
    <mergeCell ref="G13:H13"/>
    <mergeCell ref="I13:J13"/>
    <mergeCell ref="K13:L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90"/>
  </sheetPr>
  <dimension ref="B1:U23"/>
  <sheetViews>
    <sheetView showGridLines="0" zoomScale="70" zoomScaleNormal="70" workbookViewId="0">
      <pane xSplit="3" ySplit="4" topLeftCell="E5" activePane="bottomRight" state="frozen"/>
      <selection pane="bottomRight" activeCell="I5" sqref="I5"/>
      <selection pane="bottomLeft" activeCell="A5" sqref="A5"/>
      <selection pane="topRight" activeCell="D1" sqref="D1"/>
    </sheetView>
  </sheetViews>
  <sheetFormatPr defaultColWidth="8.7109375" defaultRowHeight="14.45"/>
  <cols>
    <col min="1" max="1" width="4" customWidth="1"/>
    <col min="2" max="2" width="24" customWidth="1"/>
    <col min="3" max="3" width="22.7109375" customWidth="1"/>
    <col min="4" max="4" width="27.7109375" customWidth="1"/>
    <col min="5" max="5" width="18" customWidth="1"/>
    <col min="6" max="6" width="23.5703125" customWidth="1"/>
    <col min="7" max="7" width="15.85546875" customWidth="1"/>
    <col min="8" max="9" width="14" customWidth="1"/>
    <col min="10" max="10" width="20.28515625" customWidth="1"/>
    <col min="11" max="12" width="14" customWidth="1"/>
    <col min="13" max="13" width="16.5703125" customWidth="1"/>
    <col min="14" max="14" width="14" customWidth="1"/>
    <col min="15" max="15" width="22.7109375" customWidth="1"/>
    <col min="16" max="17" width="22.28515625" customWidth="1"/>
    <col min="18" max="19" width="22" customWidth="1"/>
    <col min="20" max="20" width="20" customWidth="1"/>
    <col min="21" max="21" width="15.28515625" customWidth="1"/>
  </cols>
  <sheetData>
    <row r="1" spans="2:21" ht="7.5" customHeight="1" thickBot="1"/>
    <row r="2" spans="2:21" ht="42" customHeight="1" thickBot="1">
      <c r="B2" s="50" t="s">
        <v>27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</row>
    <row r="3" spans="2:21" ht="7.5" customHeight="1" thickBot="1"/>
    <row r="4" spans="2:21" ht="36" customHeight="1" thickBot="1"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13</v>
      </c>
      <c r="J4" s="21" t="s">
        <v>15</v>
      </c>
      <c r="K4" s="21" t="s">
        <v>35</v>
      </c>
      <c r="L4" s="21" t="s">
        <v>36</v>
      </c>
      <c r="M4" s="21" t="s">
        <v>37</v>
      </c>
      <c r="N4" s="21" t="s">
        <v>38</v>
      </c>
      <c r="O4" s="21" t="s">
        <v>19</v>
      </c>
      <c r="P4" s="21" t="s">
        <v>39</v>
      </c>
      <c r="Q4" s="21" t="s">
        <v>40</v>
      </c>
      <c r="R4" s="21" t="s">
        <v>41</v>
      </c>
      <c r="S4" s="21" t="s">
        <v>42</v>
      </c>
      <c r="T4" s="21" t="s">
        <v>43</v>
      </c>
      <c r="U4" s="21" t="s">
        <v>44</v>
      </c>
    </row>
    <row r="5" spans="2:21" ht="21.75" customHeight="1">
      <c r="B5" s="22">
        <v>1</v>
      </c>
      <c r="C5" s="12" t="s">
        <v>45</v>
      </c>
      <c r="D5" s="13" t="s">
        <v>46</v>
      </c>
      <c r="E5" s="13" t="s">
        <v>47</v>
      </c>
      <c r="F5" s="23" t="s">
        <v>7</v>
      </c>
      <c r="G5" s="13" t="s">
        <v>48</v>
      </c>
      <c r="H5" s="13" t="s">
        <v>48</v>
      </c>
      <c r="I5" s="13" t="s">
        <v>48</v>
      </c>
      <c r="J5" s="13" t="s">
        <v>48</v>
      </c>
      <c r="K5" s="13" t="s">
        <v>48</v>
      </c>
      <c r="L5" s="13" t="s">
        <v>49</v>
      </c>
      <c r="M5" s="13" t="s">
        <v>49</v>
      </c>
      <c r="N5" s="13" t="s">
        <v>48</v>
      </c>
      <c r="O5" s="13" t="s">
        <v>49</v>
      </c>
      <c r="P5" s="13" t="s">
        <v>49</v>
      </c>
      <c r="Q5" s="13" t="s">
        <v>48</v>
      </c>
      <c r="R5" s="24">
        <f>COUNTIF(G5:Q5,"YES")</f>
        <v>7</v>
      </c>
      <c r="S5" s="25"/>
      <c r="T5" s="25"/>
      <c r="U5" s="13"/>
    </row>
    <row r="6" spans="2:21" ht="21.75" customHeight="1">
      <c r="B6" s="26">
        <v>2</v>
      </c>
      <c r="C6" s="2" t="s">
        <v>50</v>
      </c>
      <c r="D6" s="3" t="s">
        <v>51</v>
      </c>
      <c r="E6" s="3" t="s">
        <v>52</v>
      </c>
      <c r="F6" s="23" t="s">
        <v>6</v>
      </c>
      <c r="G6" s="3" t="s">
        <v>49</v>
      </c>
      <c r="H6" s="3" t="s">
        <v>48</v>
      </c>
      <c r="I6" s="3" t="s">
        <v>48</v>
      </c>
      <c r="J6" s="3" t="s">
        <v>49</v>
      </c>
      <c r="K6" s="3" t="s">
        <v>49</v>
      </c>
      <c r="L6" s="3" t="s">
        <v>49</v>
      </c>
      <c r="M6" s="3" t="s">
        <v>48</v>
      </c>
      <c r="N6" s="3" t="s">
        <v>49</v>
      </c>
      <c r="O6" s="3" t="s">
        <v>49</v>
      </c>
      <c r="P6" s="3" t="s">
        <v>48</v>
      </c>
      <c r="Q6" s="3" t="s">
        <v>48</v>
      </c>
      <c r="R6" s="24">
        <f t="shared" ref="R6:R23" si="0">COUNTIF(G6:Q6,"YES")</f>
        <v>5</v>
      </c>
      <c r="S6" s="27"/>
      <c r="T6" s="27"/>
      <c r="U6" s="3"/>
    </row>
    <row r="7" spans="2:21" ht="21.75" customHeight="1">
      <c r="B7" s="22">
        <v>3</v>
      </c>
      <c r="C7" s="12" t="s">
        <v>53</v>
      </c>
      <c r="D7" s="13" t="s">
        <v>54</v>
      </c>
      <c r="E7" s="13" t="s">
        <v>55</v>
      </c>
      <c r="F7" s="23" t="s">
        <v>6</v>
      </c>
      <c r="G7" s="13" t="s">
        <v>49</v>
      </c>
      <c r="H7" s="13" t="s">
        <v>48</v>
      </c>
      <c r="I7" s="13" t="s">
        <v>49</v>
      </c>
      <c r="J7" s="13" t="s">
        <v>48</v>
      </c>
      <c r="K7" s="13" t="s">
        <v>49</v>
      </c>
      <c r="L7" s="13" t="s">
        <v>49</v>
      </c>
      <c r="M7" s="13" t="s">
        <v>49</v>
      </c>
      <c r="N7" s="13" t="s">
        <v>48</v>
      </c>
      <c r="O7" s="13" t="s">
        <v>48</v>
      </c>
      <c r="P7" s="13" t="s">
        <v>49</v>
      </c>
      <c r="Q7" s="13" t="s">
        <v>48</v>
      </c>
      <c r="R7" s="24">
        <f t="shared" si="0"/>
        <v>5</v>
      </c>
      <c r="S7" s="25"/>
      <c r="T7" s="25"/>
      <c r="U7" s="13"/>
    </row>
    <row r="8" spans="2:21" ht="21.75" customHeight="1">
      <c r="B8" s="26">
        <v>4</v>
      </c>
      <c r="C8" s="2" t="s">
        <v>56</v>
      </c>
      <c r="D8" s="3" t="s">
        <v>57</v>
      </c>
      <c r="E8" s="3" t="s">
        <v>58</v>
      </c>
      <c r="F8" s="23" t="s">
        <v>4</v>
      </c>
      <c r="G8" s="3" t="s">
        <v>49</v>
      </c>
      <c r="H8" s="3" t="s">
        <v>49</v>
      </c>
      <c r="I8" s="3" t="s">
        <v>49</v>
      </c>
      <c r="J8" s="3" t="s">
        <v>48</v>
      </c>
      <c r="K8" s="3" t="s">
        <v>48</v>
      </c>
      <c r="L8" s="3" t="s">
        <v>49</v>
      </c>
      <c r="M8" s="3" t="s">
        <v>49</v>
      </c>
      <c r="N8" s="3" t="s">
        <v>48</v>
      </c>
      <c r="O8" s="3" t="s">
        <v>48</v>
      </c>
      <c r="P8" s="3" t="s">
        <v>48</v>
      </c>
      <c r="Q8" s="3" t="s">
        <v>48</v>
      </c>
      <c r="R8" s="24">
        <f t="shared" si="0"/>
        <v>6</v>
      </c>
      <c r="S8" s="27"/>
      <c r="T8" s="27"/>
      <c r="U8" s="3"/>
    </row>
    <row r="9" spans="2:21" ht="21.75" customHeight="1">
      <c r="B9" s="22">
        <v>5</v>
      </c>
      <c r="C9" s="12" t="s">
        <v>59</v>
      </c>
      <c r="D9" s="13" t="s">
        <v>51</v>
      </c>
      <c r="E9" s="13" t="s">
        <v>60</v>
      </c>
      <c r="F9" s="23" t="s">
        <v>7</v>
      </c>
      <c r="G9" s="13" t="s">
        <v>48</v>
      </c>
      <c r="H9" s="13" t="s">
        <v>49</v>
      </c>
      <c r="I9" s="13" t="s">
        <v>48</v>
      </c>
      <c r="J9" s="13" t="s">
        <v>48</v>
      </c>
      <c r="K9" s="13" t="s">
        <v>49</v>
      </c>
      <c r="L9" s="13" t="s">
        <v>49</v>
      </c>
      <c r="M9" s="13" t="s">
        <v>48</v>
      </c>
      <c r="N9" s="13" t="s">
        <v>49</v>
      </c>
      <c r="O9" s="13" t="s">
        <v>49</v>
      </c>
      <c r="P9" s="13" t="s">
        <v>49</v>
      </c>
      <c r="Q9" s="13" t="s">
        <v>48</v>
      </c>
      <c r="R9" s="24">
        <f t="shared" si="0"/>
        <v>5</v>
      </c>
      <c r="S9" s="25"/>
      <c r="T9" s="25"/>
      <c r="U9" s="13"/>
    </row>
    <row r="10" spans="2:21" ht="21.75" customHeight="1">
      <c r="B10" s="26">
        <v>6</v>
      </c>
      <c r="C10" s="2" t="s">
        <v>61</v>
      </c>
      <c r="D10" s="3" t="s">
        <v>54</v>
      </c>
      <c r="E10" s="3" t="s">
        <v>62</v>
      </c>
      <c r="F10" s="23" t="s">
        <v>5</v>
      </c>
      <c r="G10" s="3" t="s">
        <v>49</v>
      </c>
      <c r="H10" s="3" t="s">
        <v>49</v>
      </c>
      <c r="I10" s="3" t="s">
        <v>49</v>
      </c>
      <c r="J10" s="3" t="s">
        <v>49</v>
      </c>
      <c r="K10" s="3" t="s">
        <v>49</v>
      </c>
      <c r="L10" s="3" t="s">
        <v>49</v>
      </c>
      <c r="M10" s="3" t="s">
        <v>48</v>
      </c>
      <c r="N10" s="3" t="s">
        <v>48</v>
      </c>
      <c r="O10" s="3" t="s">
        <v>48</v>
      </c>
      <c r="P10" s="3" t="s">
        <v>48</v>
      </c>
      <c r="Q10" s="3" t="s">
        <v>48</v>
      </c>
      <c r="R10" s="24">
        <f t="shared" si="0"/>
        <v>5</v>
      </c>
      <c r="S10" s="27"/>
      <c r="T10" s="27"/>
      <c r="U10" s="3"/>
    </row>
    <row r="11" spans="2:21" ht="21.75" customHeight="1">
      <c r="B11" s="22">
        <v>7</v>
      </c>
      <c r="C11" s="12" t="s">
        <v>63</v>
      </c>
      <c r="D11" s="13" t="s">
        <v>46</v>
      </c>
      <c r="E11" s="13" t="s">
        <v>64</v>
      </c>
      <c r="F11" s="23" t="s">
        <v>7</v>
      </c>
      <c r="G11" s="13" t="s">
        <v>49</v>
      </c>
      <c r="H11" s="13" t="s">
        <v>48</v>
      </c>
      <c r="I11" s="13" t="s">
        <v>48</v>
      </c>
      <c r="J11" s="13" t="s">
        <v>48</v>
      </c>
      <c r="K11" s="13" t="s">
        <v>48</v>
      </c>
      <c r="L11" s="13" t="s">
        <v>48</v>
      </c>
      <c r="M11" s="13" t="s">
        <v>48</v>
      </c>
      <c r="N11" s="13" t="s">
        <v>48</v>
      </c>
      <c r="O11" s="13" t="s">
        <v>49</v>
      </c>
      <c r="P11" s="13" t="s">
        <v>48</v>
      </c>
      <c r="Q11" s="13" t="s">
        <v>48</v>
      </c>
      <c r="R11" s="24">
        <f t="shared" si="0"/>
        <v>9</v>
      </c>
      <c r="S11" s="25"/>
      <c r="T11" s="25"/>
      <c r="U11" s="13"/>
    </row>
    <row r="12" spans="2:21" ht="21.75" customHeight="1">
      <c r="B12" s="26">
        <v>8</v>
      </c>
      <c r="C12" s="2" t="s">
        <v>65</v>
      </c>
      <c r="D12" s="3" t="s">
        <v>51</v>
      </c>
      <c r="E12" s="3" t="s">
        <v>66</v>
      </c>
      <c r="F12" s="23" t="s">
        <v>7</v>
      </c>
      <c r="G12" s="3" t="s">
        <v>48</v>
      </c>
      <c r="H12" s="3" t="s">
        <v>49</v>
      </c>
      <c r="I12" s="3" t="s">
        <v>48</v>
      </c>
      <c r="J12" s="3" t="s">
        <v>49</v>
      </c>
      <c r="K12" s="3" t="s">
        <v>49</v>
      </c>
      <c r="L12" s="3" t="s">
        <v>49</v>
      </c>
      <c r="M12" s="3" t="s">
        <v>48</v>
      </c>
      <c r="N12" s="3" t="s">
        <v>49</v>
      </c>
      <c r="O12" s="3" t="s">
        <v>49</v>
      </c>
      <c r="P12" s="3" t="s">
        <v>48</v>
      </c>
      <c r="Q12" s="3" t="s">
        <v>48</v>
      </c>
      <c r="R12" s="24">
        <f t="shared" si="0"/>
        <v>5</v>
      </c>
      <c r="S12" s="27"/>
      <c r="T12" s="27"/>
      <c r="U12" s="3"/>
    </row>
    <row r="13" spans="2:21" ht="21.75" customHeight="1">
      <c r="B13" s="22">
        <v>9</v>
      </c>
      <c r="C13" s="12" t="s">
        <v>67</v>
      </c>
      <c r="D13" s="13" t="s">
        <v>68</v>
      </c>
      <c r="E13" s="13" t="s">
        <v>69</v>
      </c>
      <c r="F13" s="23" t="s">
        <v>7</v>
      </c>
      <c r="G13" s="13" t="s">
        <v>49</v>
      </c>
      <c r="H13" s="13" t="s">
        <v>49</v>
      </c>
      <c r="I13" s="13" t="s">
        <v>49</v>
      </c>
      <c r="J13" s="13" t="s">
        <v>49</v>
      </c>
      <c r="K13" s="13" t="s">
        <v>48</v>
      </c>
      <c r="L13" s="13" t="s">
        <v>48</v>
      </c>
      <c r="M13" s="13" t="s">
        <v>48</v>
      </c>
      <c r="N13" s="13" t="s">
        <v>49</v>
      </c>
      <c r="O13" s="13" t="s">
        <v>49</v>
      </c>
      <c r="P13" s="13" t="s">
        <v>48</v>
      </c>
      <c r="Q13" s="13" t="s">
        <v>48</v>
      </c>
      <c r="R13" s="24">
        <f t="shared" si="0"/>
        <v>5</v>
      </c>
      <c r="S13" s="25"/>
      <c r="T13" s="25"/>
      <c r="U13" s="13"/>
    </row>
    <row r="14" spans="2:21" ht="21.75" customHeight="1">
      <c r="B14" s="26">
        <v>10</v>
      </c>
      <c r="C14" s="2" t="s">
        <v>70</v>
      </c>
      <c r="D14" s="3" t="s">
        <v>57</v>
      </c>
      <c r="E14" s="3" t="s">
        <v>71</v>
      </c>
      <c r="F14" s="23" t="s">
        <v>7</v>
      </c>
      <c r="G14" s="3" t="s">
        <v>48</v>
      </c>
      <c r="H14" s="3" t="s">
        <v>49</v>
      </c>
      <c r="I14" s="3" t="s">
        <v>48</v>
      </c>
      <c r="J14" s="3" t="s">
        <v>49</v>
      </c>
      <c r="K14" s="3" t="s">
        <v>49</v>
      </c>
      <c r="L14" s="3" t="s">
        <v>48</v>
      </c>
      <c r="M14" s="3" t="s">
        <v>48</v>
      </c>
      <c r="N14" s="3" t="s">
        <v>49</v>
      </c>
      <c r="O14" s="3" t="s">
        <v>49</v>
      </c>
      <c r="P14" s="3" t="s">
        <v>48</v>
      </c>
      <c r="Q14" s="3" t="s">
        <v>48</v>
      </c>
      <c r="R14" s="24">
        <f t="shared" si="0"/>
        <v>6</v>
      </c>
      <c r="S14" s="27"/>
      <c r="T14" s="27"/>
      <c r="U14" s="3"/>
    </row>
    <row r="15" spans="2:21" ht="21.75" customHeight="1">
      <c r="B15" s="22">
        <v>11</v>
      </c>
      <c r="C15" s="12" t="s">
        <v>72</v>
      </c>
      <c r="D15" s="13" t="s">
        <v>68</v>
      </c>
      <c r="E15" s="13" t="s">
        <v>73</v>
      </c>
      <c r="F15" s="23" t="s">
        <v>4</v>
      </c>
      <c r="G15" s="13" t="s">
        <v>48</v>
      </c>
      <c r="H15" s="13" t="s">
        <v>48</v>
      </c>
      <c r="I15" s="13" t="s">
        <v>49</v>
      </c>
      <c r="J15" s="13" t="s">
        <v>49</v>
      </c>
      <c r="K15" s="13" t="s">
        <v>49</v>
      </c>
      <c r="L15" s="13" t="s">
        <v>48</v>
      </c>
      <c r="M15" s="13" t="s">
        <v>49</v>
      </c>
      <c r="N15" s="13" t="s">
        <v>48</v>
      </c>
      <c r="O15" s="13" t="s">
        <v>48</v>
      </c>
      <c r="P15" s="13" t="s">
        <v>49</v>
      </c>
      <c r="Q15" s="13" t="s">
        <v>48</v>
      </c>
      <c r="R15" s="24">
        <f t="shared" si="0"/>
        <v>6</v>
      </c>
      <c r="S15" s="25"/>
      <c r="T15" s="25"/>
      <c r="U15" s="13"/>
    </row>
    <row r="16" spans="2:21" ht="21.75" customHeight="1">
      <c r="B16" s="26">
        <v>12</v>
      </c>
      <c r="C16" s="2" t="s">
        <v>74</v>
      </c>
      <c r="D16" s="3" t="s">
        <v>68</v>
      </c>
      <c r="E16" s="3" t="s">
        <v>75</v>
      </c>
      <c r="F16" s="23" t="s">
        <v>7</v>
      </c>
      <c r="G16" s="3" t="s">
        <v>49</v>
      </c>
      <c r="H16" s="3" t="s">
        <v>49</v>
      </c>
      <c r="I16" s="3" t="s">
        <v>49</v>
      </c>
      <c r="J16" s="3" t="s">
        <v>49</v>
      </c>
      <c r="K16" s="3" t="s">
        <v>48</v>
      </c>
      <c r="L16" s="3" t="s">
        <v>48</v>
      </c>
      <c r="M16" s="3" t="s">
        <v>49</v>
      </c>
      <c r="N16" s="3" t="s">
        <v>48</v>
      </c>
      <c r="O16" s="3" t="s">
        <v>48</v>
      </c>
      <c r="P16" s="3" t="s">
        <v>49</v>
      </c>
      <c r="Q16" s="3" t="s">
        <v>48</v>
      </c>
      <c r="R16" s="24">
        <f t="shared" si="0"/>
        <v>5</v>
      </c>
      <c r="S16" s="27"/>
      <c r="T16" s="27"/>
      <c r="U16" s="3"/>
    </row>
    <row r="17" spans="2:21" ht="21.75" customHeight="1">
      <c r="B17" s="22">
        <v>13</v>
      </c>
      <c r="C17" s="12" t="s">
        <v>76</v>
      </c>
      <c r="D17" s="13" t="s">
        <v>77</v>
      </c>
      <c r="E17" s="13" t="s">
        <v>73</v>
      </c>
      <c r="F17" s="23" t="s">
        <v>6</v>
      </c>
      <c r="G17" s="13" t="s">
        <v>48</v>
      </c>
      <c r="H17" s="13" t="s">
        <v>48</v>
      </c>
      <c r="I17" s="13" t="s">
        <v>49</v>
      </c>
      <c r="J17" s="13" t="s">
        <v>49</v>
      </c>
      <c r="K17" s="13" t="s">
        <v>49</v>
      </c>
      <c r="L17" s="13" t="s">
        <v>49</v>
      </c>
      <c r="M17" s="13" t="s">
        <v>48</v>
      </c>
      <c r="N17" s="13" t="s">
        <v>48</v>
      </c>
      <c r="O17" s="13" t="s">
        <v>49</v>
      </c>
      <c r="P17" s="13" t="s">
        <v>48</v>
      </c>
      <c r="Q17" s="13" t="s">
        <v>48</v>
      </c>
      <c r="R17" s="24">
        <f t="shared" si="0"/>
        <v>6</v>
      </c>
      <c r="S17" s="25"/>
      <c r="T17" s="25"/>
      <c r="U17" s="13"/>
    </row>
    <row r="18" spans="2:21" ht="21.75" customHeight="1">
      <c r="B18" s="26">
        <v>14</v>
      </c>
      <c r="C18" s="2" t="s">
        <v>78</v>
      </c>
      <c r="D18" s="3" t="s">
        <v>57</v>
      </c>
      <c r="E18" s="3" t="s">
        <v>64</v>
      </c>
      <c r="F18" s="23" t="s">
        <v>4</v>
      </c>
      <c r="G18" s="3" t="s">
        <v>48</v>
      </c>
      <c r="H18" s="3" t="s">
        <v>49</v>
      </c>
      <c r="I18" s="3" t="s">
        <v>48</v>
      </c>
      <c r="J18" s="3" t="s">
        <v>49</v>
      </c>
      <c r="K18" s="3" t="s">
        <v>48</v>
      </c>
      <c r="L18" s="3" t="s">
        <v>49</v>
      </c>
      <c r="M18" s="3" t="s">
        <v>49</v>
      </c>
      <c r="N18" s="3" t="s">
        <v>48</v>
      </c>
      <c r="O18" s="3" t="s">
        <v>49</v>
      </c>
      <c r="P18" s="3" t="s">
        <v>48</v>
      </c>
      <c r="Q18" s="3" t="s">
        <v>48</v>
      </c>
      <c r="R18" s="24">
        <f t="shared" si="0"/>
        <v>6</v>
      </c>
      <c r="S18" s="27"/>
      <c r="T18" s="27"/>
      <c r="U18" s="3"/>
    </row>
    <row r="19" spans="2:21" ht="21.75" customHeight="1">
      <c r="B19" s="22">
        <v>15</v>
      </c>
      <c r="C19" s="12" t="s">
        <v>79</v>
      </c>
      <c r="D19" s="13" t="s">
        <v>54</v>
      </c>
      <c r="E19" s="13" t="s">
        <v>80</v>
      </c>
      <c r="F19" s="23" t="s">
        <v>6</v>
      </c>
      <c r="G19" s="13" t="s">
        <v>49</v>
      </c>
      <c r="H19" s="13" t="s">
        <v>48</v>
      </c>
      <c r="I19" s="13" t="s">
        <v>49</v>
      </c>
      <c r="J19" s="13" t="s">
        <v>48</v>
      </c>
      <c r="K19" s="13" t="s">
        <v>49</v>
      </c>
      <c r="L19" s="13" t="s">
        <v>49</v>
      </c>
      <c r="M19" s="13" t="s">
        <v>48</v>
      </c>
      <c r="N19" s="13" t="s">
        <v>49</v>
      </c>
      <c r="O19" s="13" t="s">
        <v>49</v>
      </c>
      <c r="P19" s="13" t="s">
        <v>49</v>
      </c>
      <c r="Q19" s="13" t="s">
        <v>48</v>
      </c>
      <c r="R19" s="24">
        <f t="shared" si="0"/>
        <v>4</v>
      </c>
      <c r="S19" s="25"/>
      <c r="T19" s="25"/>
      <c r="U19" s="13"/>
    </row>
    <row r="20" spans="2:21" ht="21.75" customHeight="1">
      <c r="B20" s="26">
        <v>16</v>
      </c>
      <c r="C20" s="2" t="s">
        <v>81</v>
      </c>
      <c r="D20" s="3" t="s">
        <v>68</v>
      </c>
      <c r="E20" s="3" t="s">
        <v>82</v>
      </c>
      <c r="F20" s="23" t="s">
        <v>4</v>
      </c>
      <c r="G20" s="3" t="s">
        <v>48</v>
      </c>
      <c r="H20" s="3" t="s">
        <v>49</v>
      </c>
      <c r="I20" s="3" t="s">
        <v>48</v>
      </c>
      <c r="J20" s="3" t="s">
        <v>49</v>
      </c>
      <c r="K20" s="3" t="s">
        <v>49</v>
      </c>
      <c r="L20" s="3" t="s">
        <v>48</v>
      </c>
      <c r="M20" s="3" t="s">
        <v>49</v>
      </c>
      <c r="N20" s="3" t="s">
        <v>48</v>
      </c>
      <c r="O20" s="3" t="s">
        <v>48</v>
      </c>
      <c r="P20" s="3" t="s">
        <v>49</v>
      </c>
      <c r="Q20" s="3" t="s">
        <v>48</v>
      </c>
      <c r="R20" s="24">
        <f t="shared" si="0"/>
        <v>6</v>
      </c>
      <c r="S20" s="27"/>
      <c r="T20" s="27"/>
      <c r="U20" s="3"/>
    </row>
    <row r="21" spans="2:21" ht="21.75" customHeight="1">
      <c r="B21" s="22">
        <v>17</v>
      </c>
      <c r="C21" s="12" t="s">
        <v>83</v>
      </c>
      <c r="D21" s="13" t="s">
        <v>46</v>
      </c>
      <c r="E21" s="13" t="s">
        <v>84</v>
      </c>
      <c r="F21" s="23" t="s">
        <v>6</v>
      </c>
      <c r="G21" s="13" t="s">
        <v>49</v>
      </c>
      <c r="H21" s="13" t="s">
        <v>49</v>
      </c>
      <c r="I21" s="13" t="s">
        <v>48</v>
      </c>
      <c r="J21" s="13" t="s">
        <v>49</v>
      </c>
      <c r="K21" s="13" t="s">
        <v>49</v>
      </c>
      <c r="L21" s="13" t="s">
        <v>48</v>
      </c>
      <c r="M21" s="13" t="s">
        <v>48</v>
      </c>
      <c r="N21" s="13" t="s">
        <v>49</v>
      </c>
      <c r="O21" s="13" t="s">
        <v>48</v>
      </c>
      <c r="P21" s="13" t="s">
        <v>48</v>
      </c>
      <c r="Q21" s="13" t="s">
        <v>48</v>
      </c>
      <c r="R21" s="24">
        <f t="shared" si="0"/>
        <v>6</v>
      </c>
      <c r="S21" s="25"/>
      <c r="T21" s="25"/>
      <c r="U21" s="13"/>
    </row>
    <row r="22" spans="2:21" ht="21.75" customHeight="1">
      <c r="B22" s="26">
        <v>18</v>
      </c>
      <c r="C22" s="2" t="s">
        <v>85</v>
      </c>
      <c r="D22" s="3" t="s">
        <v>77</v>
      </c>
      <c r="E22" s="3" t="s">
        <v>86</v>
      </c>
      <c r="F22" s="23" t="s">
        <v>6</v>
      </c>
      <c r="G22" s="3" t="s">
        <v>49</v>
      </c>
      <c r="H22" s="3" t="s">
        <v>49</v>
      </c>
      <c r="I22" s="3" t="s">
        <v>48</v>
      </c>
      <c r="J22" s="3" t="s">
        <v>49</v>
      </c>
      <c r="K22" s="3" t="s">
        <v>48</v>
      </c>
      <c r="L22" s="3" t="s">
        <v>49</v>
      </c>
      <c r="M22" s="3" t="s">
        <v>49</v>
      </c>
      <c r="N22" s="3" t="s">
        <v>49</v>
      </c>
      <c r="O22" s="3" t="s">
        <v>49</v>
      </c>
      <c r="P22" s="3" t="s">
        <v>48</v>
      </c>
      <c r="Q22" s="3" t="s">
        <v>48</v>
      </c>
      <c r="R22" s="24">
        <f t="shared" si="0"/>
        <v>4</v>
      </c>
      <c r="S22" s="27"/>
      <c r="T22" s="27"/>
      <c r="U22" s="3"/>
    </row>
    <row r="23" spans="2:21" ht="21.75" customHeight="1">
      <c r="B23" s="22">
        <v>19</v>
      </c>
      <c r="C23" s="12" t="s">
        <v>87</v>
      </c>
      <c r="D23" s="13" t="s">
        <v>68</v>
      </c>
      <c r="E23" s="13" t="s">
        <v>75</v>
      </c>
      <c r="F23" s="23" t="s">
        <v>4</v>
      </c>
      <c r="G23" s="13" t="s">
        <v>48</v>
      </c>
      <c r="H23" s="13" t="s">
        <v>49</v>
      </c>
      <c r="I23" s="13" t="s">
        <v>48</v>
      </c>
      <c r="J23" s="13" t="s">
        <v>49</v>
      </c>
      <c r="K23" s="13" t="s">
        <v>48</v>
      </c>
      <c r="L23" s="13" t="s">
        <v>49</v>
      </c>
      <c r="M23" s="13" t="s">
        <v>49</v>
      </c>
      <c r="N23" s="13" t="s">
        <v>49</v>
      </c>
      <c r="O23" s="13" t="s">
        <v>49</v>
      </c>
      <c r="P23" s="13" t="s">
        <v>48</v>
      </c>
      <c r="Q23" s="13" t="s">
        <v>48</v>
      </c>
      <c r="R23" s="24">
        <f t="shared" si="0"/>
        <v>5</v>
      </c>
      <c r="S23" s="25"/>
      <c r="T23" s="25"/>
      <c r="U23" s="13"/>
    </row>
  </sheetData>
  <mergeCells count="1">
    <mergeCell ref="B2:T2"/>
  </mergeCells>
  <conditionalFormatting sqref="F5:F23">
    <cfRule type="containsText" dxfId="32" priority="3" operator="containsText" text="GREEN">
      <formula>NOT(ISERROR(SEARCH("GREEN",F5)))</formula>
    </cfRule>
    <cfRule type="containsText" dxfId="31" priority="4" operator="containsText" text="YELLOW">
      <formula>NOT(ISERROR(SEARCH("YELLOW",F5)))</formula>
    </cfRule>
    <cfRule type="containsText" dxfId="30" priority="5" operator="containsText" text="RED">
      <formula>NOT(ISERROR(SEARCH("RED",F5)))</formula>
    </cfRule>
    <cfRule type="containsText" dxfId="29" priority="6" operator="containsText" text="BLACK">
      <formula>NOT(ISERROR(SEARCH("BLACK",F5)))</formula>
    </cfRule>
  </conditionalFormatting>
  <conditionalFormatting sqref="R5:R23">
    <cfRule type="cellIs" dxfId="28" priority="7" operator="between">
      <formula>0</formula>
      <formula>2</formula>
    </cfRule>
    <cfRule type="cellIs" dxfId="27" priority="8" operator="between">
      <formula>3</formula>
      <formula>5</formula>
    </cfRule>
    <cfRule type="cellIs" dxfId="26" priority="9" operator="between">
      <formula>6</formula>
      <formula>8</formula>
    </cfRule>
    <cfRule type="cellIs" dxfId="25" priority="10" operator="between">
      <formula>9</formula>
      <formula>99</formula>
    </cfRule>
  </conditionalFormatting>
  <conditionalFormatting sqref="G5:Q23">
    <cfRule type="cellIs" dxfId="24" priority="1" operator="equal">
      <formula>"YES"</formula>
    </cfRule>
  </conditionalFormatting>
  <dataValidations count="2">
    <dataValidation type="list" allowBlank="1" showErrorMessage="1" errorTitle="Invalid Entry" error="Please select a valid status." sqref="F5:F23" xr:uid="{00000000-0002-0000-0100-000000000000}">
      <formula1>"🟢 GREEN,🟡 YELLOW,🔴 RED,⚫ BLACK"</formula1>
      <formula2>0</formula2>
    </dataValidation>
    <dataValidation type="list" allowBlank="1" sqref="G5:Q23" xr:uid="{00000000-0002-0000-01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090"/>
  </sheetPr>
  <dimension ref="B1:S23"/>
  <sheetViews>
    <sheetView showGridLines="0" zoomScale="80" zoomScaleNormal="80" workbookViewId="0">
      <pane ySplit="4" topLeftCell="A5" activePane="bottomLeft" state="frozen"/>
      <selection pane="bottomLeft" activeCell="Q6" sqref="Q6"/>
    </sheetView>
  </sheetViews>
  <sheetFormatPr defaultColWidth="8.7109375" defaultRowHeight="14.45"/>
  <cols>
    <col min="1" max="1" width="4" customWidth="1"/>
    <col min="2" max="2" width="24" customWidth="1"/>
    <col min="3" max="3" width="16" customWidth="1"/>
    <col min="4" max="4" width="14" customWidth="1"/>
    <col min="5" max="5" width="18" customWidth="1"/>
    <col min="6" max="9" width="14" customWidth="1"/>
    <col min="10" max="10" width="20.42578125" customWidth="1"/>
    <col min="11" max="15" width="14" customWidth="1"/>
    <col min="16" max="16" width="16" customWidth="1"/>
    <col min="17" max="17" width="22" customWidth="1"/>
    <col min="18" max="18" width="20" customWidth="1"/>
  </cols>
  <sheetData>
    <row r="1" spans="2:19" ht="7.5" customHeight="1"/>
    <row r="2" spans="2:19" ht="42" customHeight="1">
      <c r="B2" s="50" t="s">
        <v>88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2:19" ht="7.5" customHeight="1"/>
    <row r="4" spans="2:19" ht="36" customHeight="1"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13</v>
      </c>
      <c r="J4" s="21" t="s">
        <v>15</v>
      </c>
      <c r="K4" s="21" t="s">
        <v>35</v>
      </c>
      <c r="L4" s="21" t="s">
        <v>36</v>
      </c>
      <c r="M4" s="21" t="s">
        <v>17</v>
      </c>
      <c r="N4" s="21" t="s">
        <v>38</v>
      </c>
      <c r="O4" s="21" t="s">
        <v>19</v>
      </c>
      <c r="P4" s="21" t="s">
        <v>39</v>
      </c>
      <c r="Q4" s="21" t="s">
        <v>41</v>
      </c>
      <c r="R4" s="21" t="s">
        <v>43</v>
      </c>
      <c r="S4" s="21" t="s">
        <v>44</v>
      </c>
    </row>
    <row r="5" spans="2:19" ht="21.75" customHeight="1">
      <c r="B5" s="22">
        <v>1</v>
      </c>
      <c r="C5" s="12" t="s">
        <v>89</v>
      </c>
      <c r="D5" s="13" t="s">
        <v>68</v>
      </c>
      <c r="E5" s="13" t="s">
        <v>55</v>
      </c>
      <c r="F5" s="23" t="s">
        <v>5</v>
      </c>
      <c r="G5" s="13" t="s">
        <v>49</v>
      </c>
      <c r="H5" s="13" t="s">
        <v>48</v>
      </c>
      <c r="I5" s="13" t="s">
        <v>49</v>
      </c>
      <c r="J5" s="13" t="s">
        <v>49</v>
      </c>
      <c r="K5" s="13" t="s">
        <v>49</v>
      </c>
      <c r="L5" s="13" t="s">
        <v>48</v>
      </c>
      <c r="M5" s="13" t="s">
        <v>49</v>
      </c>
      <c r="N5" s="13" t="s">
        <v>48</v>
      </c>
      <c r="O5" s="13" t="s">
        <v>48</v>
      </c>
      <c r="P5" s="13" t="s">
        <v>49</v>
      </c>
      <c r="Q5" s="24">
        <f>COUNTIF(G5:P5,"YES")</f>
        <v>4</v>
      </c>
      <c r="R5" s="25"/>
      <c r="S5" s="13"/>
    </row>
    <row r="6" spans="2:19" ht="21.75" customHeight="1">
      <c r="B6" s="26">
        <v>2</v>
      </c>
      <c r="C6" s="2" t="s">
        <v>90</v>
      </c>
      <c r="D6" s="3" t="s">
        <v>46</v>
      </c>
      <c r="E6" s="3" t="s">
        <v>91</v>
      </c>
      <c r="F6" s="23" t="s">
        <v>5</v>
      </c>
      <c r="G6" s="3" t="s">
        <v>48</v>
      </c>
      <c r="H6" s="3" t="s">
        <v>48</v>
      </c>
      <c r="I6" s="3" t="s">
        <v>49</v>
      </c>
      <c r="J6" s="3" t="s">
        <v>49</v>
      </c>
      <c r="K6" s="3" t="s">
        <v>49</v>
      </c>
      <c r="L6" s="3" t="s">
        <v>49</v>
      </c>
      <c r="M6" s="3" t="s">
        <v>48</v>
      </c>
      <c r="N6" s="3" t="s">
        <v>48</v>
      </c>
      <c r="O6" s="3" t="s">
        <v>48</v>
      </c>
      <c r="P6" s="3" t="s">
        <v>48</v>
      </c>
      <c r="Q6" s="24">
        <f t="shared" ref="Q5:Q23" si="0">COUNTIF(G6:P6,"YES")</f>
        <v>6</v>
      </c>
      <c r="R6" s="27"/>
      <c r="S6" s="3"/>
    </row>
    <row r="7" spans="2:19" ht="21.75" customHeight="1">
      <c r="B7" s="22">
        <v>3</v>
      </c>
      <c r="C7" s="12" t="s">
        <v>92</v>
      </c>
      <c r="D7" s="13" t="s">
        <v>54</v>
      </c>
      <c r="E7" s="13" t="s">
        <v>93</v>
      </c>
      <c r="F7" s="23" t="s">
        <v>6</v>
      </c>
      <c r="G7" s="13" t="s">
        <v>49</v>
      </c>
      <c r="H7" s="13" t="s">
        <v>48</v>
      </c>
      <c r="I7" s="13" t="s">
        <v>49</v>
      </c>
      <c r="J7" s="13" t="s">
        <v>48</v>
      </c>
      <c r="K7" s="13" t="s">
        <v>48</v>
      </c>
      <c r="L7" s="13" t="s">
        <v>49</v>
      </c>
      <c r="M7" s="13" t="s">
        <v>48</v>
      </c>
      <c r="N7" s="13" t="s">
        <v>49</v>
      </c>
      <c r="O7" s="13" t="s">
        <v>48</v>
      </c>
      <c r="P7" s="13" t="s">
        <v>48</v>
      </c>
      <c r="Q7" s="24">
        <f t="shared" si="0"/>
        <v>6</v>
      </c>
      <c r="R7" s="25"/>
      <c r="S7" s="13"/>
    </row>
    <row r="8" spans="2:19" ht="21.75" customHeight="1">
      <c r="B8" s="26">
        <v>4</v>
      </c>
      <c r="C8" s="2" t="s">
        <v>94</v>
      </c>
      <c r="D8" s="3" t="s">
        <v>54</v>
      </c>
      <c r="E8" s="3" t="s">
        <v>95</v>
      </c>
      <c r="F8" s="23" t="s">
        <v>5</v>
      </c>
      <c r="G8" s="3" t="s">
        <v>48</v>
      </c>
      <c r="H8" s="3" t="s">
        <v>48</v>
      </c>
      <c r="I8" s="3" t="s">
        <v>48</v>
      </c>
      <c r="J8" s="3" t="s">
        <v>49</v>
      </c>
      <c r="K8" s="3" t="s">
        <v>49</v>
      </c>
      <c r="L8" s="3" t="s">
        <v>49</v>
      </c>
      <c r="M8" s="3" t="s">
        <v>48</v>
      </c>
      <c r="N8" s="3" t="s">
        <v>49</v>
      </c>
      <c r="O8" s="3" t="s">
        <v>49</v>
      </c>
      <c r="P8" s="3" t="s">
        <v>49</v>
      </c>
      <c r="Q8" s="24">
        <f t="shared" si="0"/>
        <v>4</v>
      </c>
      <c r="R8" s="27"/>
      <c r="S8" s="3"/>
    </row>
    <row r="9" spans="2:19" ht="21.75" customHeight="1">
      <c r="B9" s="22">
        <v>5</v>
      </c>
      <c r="C9" s="12" t="s">
        <v>96</v>
      </c>
      <c r="D9" s="13" t="s">
        <v>54</v>
      </c>
      <c r="E9" s="13" t="s">
        <v>97</v>
      </c>
      <c r="F9" s="23" t="s">
        <v>4</v>
      </c>
      <c r="G9" s="13" t="s">
        <v>48</v>
      </c>
      <c r="H9" s="13" t="s">
        <v>49</v>
      </c>
      <c r="I9" s="13" t="s">
        <v>48</v>
      </c>
      <c r="J9" s="13" t="s">
        <v>49</v>
      </c>
      <c r="K9" s="13" t="s">
        <v>49</v>
      </c>
      <c r="L9" s="13" t="s">
        <v>48</v>
      </c>
      <c r="M9" s="13" t="s">
        <v>48</v>
      </c>
      <c r="N9" s="13" t="s">
        <v>49</v>
      </c>
      <c r="O9" s="13" t="s">
        <v>49</v>
      </c>
      <c r="P9" s="13" t="s">
        <v>49</v>
      </c>
      <c r="Q9" s="24">
        <f t="shared" si="0"/>
        <v>4</v>
      </c>
      <c r="R9" s="25"/>
      <c r="S9" s="13"/>
    </row>
    <row r="10" spans="2:19" ht="21.75" customHeight="1">
      <c r="B10" s="26">
        <v>6</v>
      </c>
      <c r="C10" s="2" t="s">
        <v>98</v>
      </c>
      <c r="D10" s="3" t="s">
        <v>77</v>
      </c>
      <c r="E10" s="3" t="s">
        <v>99</v>
      </c>
      <c r="F10" s="23" t="s">
        <v>4</v>
      </c>
      <c r="G10" s="3" t="s">
        <v>49</v>
      </c>
      <c r="H10" s="3" t="s">
        <v>49</v>
      </c>
      <c r="I10" s="3" t="s">
        <v>48</v>
      </c>
      <c r="J10" s="3" t="s">
        <v>49</v>
      </c>
      <c r="K10" s="3" t="s">
        <v>48</v>
      </c>
      <c r="L10" s="3" t="s">
        <v>49</v>
      </c>
      <c r="M10" s="3" t="s">
        <v>48</v>
      </c>
      <c r="N10" s="3" t="s">
        <v>49</v>
      </c>
      <c r="O10" s="3" t="s">
        <v>49</v>
      </c>
      <c r="P10" s="3" t="s">
        <v>48</v>
      </c>
      <c r="Q10" s="24">
        <f t="shared" si="0"/>
        <v>4</v>
      </c>
      <c r="R10" s="27"/>
      <c r="S10" s="3"/>
    </row>
    <row r="11" spans="2:19" ht="21.75" customHeight="1">
      <c r="B11" s="22">
        <v>7</v>
      </c>
      <c r="C11" s="12" t="s">
        <v>100</v>
      </c>
      <c r="D11" s="13" t="s">
        <v>46</v>
      </c>
      <c r="E11" s="13" t="s">
        <v>101</v>
      </c>
      <c r="F11" s="23" t="s">
        <v>6</v>
      </c>
      <c r="G11" s="13" t="s">
        <v>49</v>
      </c>
      <c r="H11" s="13" t="s">
        <v>49</v>
      </c>
      <c r="I11" s="13" t="s">
        <v>48</v>
      </c>
      <c r="J11" s="13" t="s">
        <v>49</v>
      </c>
      <c r="K11" s="13" t="s">
        <v>49</v>
      </c>
      <c r="L11" s="13" t="s">
        <v>49</v>
      </c>
      <c r="M11" s="13" t="s">
        <v>49</v>
      </c>
      <c r="N11" s="13" t="s">
        <v>49</v>
      </c>
      <c r="O11" s="13" t="s">
        <v>49</v>
      </c>
      <c r="P11" s="13" t="s">
        <v>49</v>
      </c>
      <c r="Q11" s="24">
        <f t="shared" si="0"/>
        <v>1</v>
      </c>
      <c r="R11" s="25"/>
      <c r="S11" s="13"/>
    </row>
    <row r="12" spans="2:19" ht="21.75" customHeight="1">
      <c r="B12" s="26">
        <v>8</v>
      </c>
      <c r="C12" s="2" t="s">
        <v>102</v>
      </c>
      <c r="D12" s="3" t="s">
        <v>51</v>
      </c>
      <c r="E12" s="3" t="s">
        <v>71</v>
      </c>
      <c r="F12" s="23" t="s">
        <v>7</v>
      </c>
      <c r="G12" s="3" t="s">
        <v>49</v>
      </c>
      <c r="H12" s="3" t="s">
        <v>48</v>
      </c>
      <c r="I12" s="3" t="s">
        <v>49</v>
      </c>
      <c r="J12" s="3" t="s">
        <v>49</v>
      </c>
      <c r="K12" s="3" t="s">
        <v>49</v>
      </c>
      <c r="L12" s="3" t="s">
        <v>49</v>
      </c>
      <c r="M12" s="3" t="s">
        <v>49</v>
      </c>
      <c r="N12" s="3" t="s">
        <v>48</v>
      </c>
      <c r="O12" s="3" t="s">
        <v>49</v>
      </c>
      <c r="P12" s="3" t="s">
        <v>49</v>
      </c>
      <c r="Q12" s="24">
        <f t="shared" si="0"/>
        <v>2</v>
      </c>
      <c r="R12" s="27"/>
      <c r="S12" s="3"/>
    </row>
    <row r="13" spans="2:19" ht="21.75" customHeight="1">
      <c r="B13" s="22">
        <v>9</v>
      </c>
      <c r="C13" s="12" t="s">
        <v>103</v>
      </c>
      <c r="D13" s="13" t="s">
        <v>57</v>
      </c>
      <c r="E13" s="13" t="s">
        <v>104</v>
      </c>
      <c r="F13" s="23" t="s">
        <v>6</v>
      </c>
      <c r="G13" s="13" t="s">
        <v>49</v>
      </c>
      <c r="H13" s="13" t="s">
        <v>49</v>
      </c>
      <c r="I13" s="13" t="s">
        <v>49</v>
      </c>
      <c r="J13" s="13" t="s">
        <v>48</v>
      </c>
      <c r="K13" s="13" t="s">
        <v>49</v>
      </c>
      <c r="L13" s="13" t="s">
        <v>49</v>
      </c>
      <c r="M13" s="13" t="s">
        <v>48</v>
      </c>
      <c r="N13" s="13" t="s">
        <v>48</v>
      </c>
      <c r="O13" s="13" t="s">
        <v>49</v>
      </c>
      <c r="P13" s="13" t="s">
        <v>49</v>
      </c>
      <c r="Q13" s="24">
        <f t="shared" si="0"/>
        <v>3</v>
      </c>
      <c r="R13" s="25"/>
      <c r="S13" s="13"/>
    </row>
    <row r="14" spans="2:19" ht="21.75" customHeight="1">
      <c r="B14" s="26">
        <v>10</v>
      </c>
      <c r="C14" s="2" t="s">
        <v>105</v>
      </c>
      <c r="D14" s="3" t="s">
        <v>77</v>
      </c>
      <c r="E14" s="3" t="s">
        <v>97</v>
      </c>
      <c r="F14" s="23" t="s">
        <v>4</v>
      </c>
      <c r="G14" s="3" t="s">
        <v>48</v>
      </c>
      <c r="H14" s="3" t="s">
        <v>49</v>
      </c>
      <c r="I14" s="3" t="s">
        <v>48</v>
      </c>
      <c r="J14" s="3" t="s">
        <v>48</v>
      </c>
      <c r="K14" s="3" t="s">
        <v>48</v>
      </c>
      <c r="L14" s="3" t="s">
        <v>48</v>
      </c>
      <c r="M14" s="3" t="s">
        <v>48</v>
      </c>
      <c r="N14" s="3" t="s">
        <v>48</v>
      </c>
      <c r="O14" s="3" t="s">
        <v>49</v>
      </c>
      <c r="P14" s="3" t="s">
        <v>49</v>
      </c>
      <c r="Q14" s="24">
        <f t="shared" si="0"/>
        <v>7</v>
      </c>
      <c r="R14" s="27"/>
      <c r="S14" s="3"/>
    </row>
    <row r="15" spans="2:19" ht="21.75" customHeight="1">
      <c r="B15" s="22">
        <v>11</v>
      </c>
      <c r="C15" s="12" t="s">
        <v>106</v>
      </c>
      <c r="D15" s="13" t="s">
        <v>68</v>
      </c>
      <c r="E15" s="13" t="s">
        <v>107</v>
      </c>
      <c r="F15" s="23" t="s">
        <v>5</v>
      </c>
      <c r="G15" s="13" t="s">
        <v>49</v>
      </c>
      <c r="H15" s="13" t="s">
        <v>49</v>
      </c>
      <c r="I15" s="13" t="s">
        <v>49</v>
      </c>
      <c r="J15" s="13" t="s">
        <v>48</v>
      </c>
      <c r="K15" s="13" t="s">
        <v>48</v>
      </c>
      <c r="L15" s="13" t="s">
        <v>48</v>
      </c>
      <c r="M15" s="13" t="s">
        <v>48</v>
      </c>
      <c r="N15" s="13" t="s">
        <v>49</v>
      </c>
      <c r="O15" s="13" t="s">
        <v>48</v>
      </c>
      <c r="P15" s="13" t="s">
        <v>48</v>
      </c>
      <c r="Q15" s="24">
        <f t="shared" si="0"/>
        <v>6</v>
      </c>
      <c r="R15" s="25"/>
      <c r="S15" s="13"/>
    </row>
    <row r="16" spans="2:19" ht="21.75" customHeight="1">
      <c r="B16" s="26">
        <v>12</v>
      </c>
      <c r="C16" s="2" t="s">
        <v>108</v>
      </c>
      <c r="D16" s="3" t="s">
        <v>77</v>
      </c>
      <c r="E16" s="3" t="s">
        <v>109</v>
      </c>
      <c r="F16" s="23" t="s">
        <v>4</v>
      </c>
      <c r="G16" s="3" t="s">
        <v>49</v>
      </c>
      <c r="H16" s="3" t="s">
        <v>48</v>
      </c>
      <c r="I16" s="3" t="s">
        <v>48</v>
      </c>
      <c r="J16" s="3" t="s">
        <v>49</v>
      </c>
      <c r="K16" s="3" t="s">
        <v>48</v>
      </c>
      <c r="L16" s="3" t="s">
        <v>49</v>
      </c>
      <c r="M16" s="3" t="s">
        <v>49</v>
      </c>
      <c r="N16" s="3" t="s">
        <v>49</v>
      </c>
      <c r="O16" s="3" t="s">
        <v>49</v>
      </c>
      <c r="P16" s="3" t="s">
        <v>49</v>
      </c>
      <c r="Q16" s="24">
        <f t="shared" si="0"/>
        <v>3</v>
      </c>
      <c r="R16" s="27"/>
      <c r="S16" s="3"/>
    </row>
    <row r="17" spans="2:19" ht="21.75" customHeight="1">
      <c r="B17" s="22">
        <v>13</v>
      </c>
      <c r="C17" s="12" t="s">
        <v>110</v>
      </c>
      <c r="D17" s="13" t="s">
        <v>54</v>
      </c>
      <c r="E17" s="13" t="s">
        <v>111</v>
      </c>
      <c r="F17" s="23" t="s">
        <v>7</v>
      </c>
      <c r="G17" s="13" t="s">
        <v>49</v>
      </c>
      <c r="H17" s="13" t="s">
        <v>49</v>
      </c>
      <c r="I17" s="13" t="s">
        <v>48</v>
      </c>
      <c r="J17" s="13" t="s">
        <v>49</v>
      </c>
      <c r="K17" s="13" t="s">
        <v>49</v>
      </c>
      <c r="L17" s="13" t="s">
        <v>49</v>
      </c>
      <c r="M17" s="13" t="s">
        <v>48</v>
      </c>
      <c r="N17" s="13" t="s">
        <v>49</v>
      </c>
      <c r="O17" s="13" t="s">
        <v>49</v>
      </c>
      <c r="P17" s="13" t="s">
        <v>49</v>
      </c>
      <c r="Q17" s="24">
        <f t="shared" si="0"/>
        <v>2</v>
      </c>
      <c r="R17" s="25"/>
      <c r="S17" s="13"/>
    </row>
    <row r="18" spans="2:19" ht="21.75" customHeight="1">
      <c r="B18" s="26">
        <v>14</v>
      </c>
      <c r="C18" s="2" t="s">
        <v>112</v>
      </c>
      <c r="D18" s="3" t="s">
        <v>77</v>
      </c>
      <c r="E18" s="3" t="s">
        <v>66</v>
      </c>
      <c r="F18" s="23" t="s">
        <v>7</v>
      </c>
      <c r="G18" s="3" t="s">
        <v>48</v>
      </c>
      <c r="H18" s="3" t="s">
        <v>49</v>
      </c>
      <c r="I18" s="3" t="s">
        <v>48</v>
      </c>
      <c r="J18" s="3" t="s">
        <v>49</v>
      </c>
      <c r="K18" s="3" t="s">
        <v>49</v>
      </c>
      <c r="L18" s="3" t="s">
        <v>49</v>
      </c>
      <c r="M18" s="3" t="s">
        <v>49</v>
      </c>
      <c r="N18" s="3" t="s">
        <v>48</v>
      </c>
      <c r="O18" s="3" t="s">
        <v>48</v>
      </c>
      <c r="P18" s="3" t="s">
        <v>48</v>
      </c>
      <c r="Q18" s="24">
        <f t="shared" si="0"/>
        <v>5</v>
      </c>
      <c r="R18" s="27"/>
      <c r="S18" s="3"/>
    </row>
    <row r="19" spans="2:19" ht="21.75" customHeight="1">
      <c r="B19" s="22">
        <v>15</v>
      </c>
      <c r="C19" s="12" t="s">
        <v>113</v>
      </c>
      <c r="D19" s="13" t="s">
        <v>57</v>
      </c>
      <c r="E19" s="13" t="s">
        <v>114</v>
      </c>
      <c r="F19" s="23" t="s">
        <v>5</v>
      </c>
      <c r="G19" s="13" t="s">
        <v>48</v>
      </c>
      <c r="H19" s="13" t="s">
        <v>48</v>
      </c>
      <c r="I19" s="13" t="s">
        <v>49</v>
      </c>
      <c r="J19" s="13" t="s">
        <v>49</v>
      </c>
      <c r="K19" s="13" t="s">
        <v>49</v>
      </c>
      <c r="L19" s="13" t="s">
        <v>49</v>
      </c>
      <c r="M19" s="13" t="s">
        <v>49</v>
      </c>
      <c r="N19" s="13" t="s">
        <v>49</v>
      </c>
      <c r="O19" s="13" t="s">
        <v>48</v>
      </c>
      <c r="P19" s="13" t="s">
        <v>48</v>
      </c>
      <c r="Q19" s="24">
        <f t="shared" si="0"/>
        <v>4</v>
      </c>
      <c r="R19" s="25"/>
      <c r="S19" s="13"/>
    </row>
    <row r="20" spans="2:19" ht="21.75" customHeight="1">
      <c r="B20" s="26">
        <v>16</v>
      </c>
      <c r="C20" s="2" t="s">
        <v>115</v>
      </c>
      <c r="D20" s="3" t="s">
        <v>54</v>
      </c>
      <c r="E20" s="3" t="s">
        <v>104</v>
      </c>
      <c r="F20" s="23" t="s">
        <v>4</v>
      </c>
      <c r="G20" s="3" t="s">
        <v>49</v>
      </c>
      <c r="H20" s="3" t="s">
        <v>49</v>
      </c>
      <c r="I20" s="3" t="s">
        <v>49</v>
      </c>
      <c r="J20" s="3" t="s">
        <v>48</v>
      </c>
      <c r="K20" s="3" t="s">
        <v>49</v>
      </c>
      <c r="L20" s="3" t="s">
        <v>49</v>
      </c>
      <c r="M20" s="3" t="s">
        <v>49</v>
      </c>
      <c r="N20" s="3" t="s">
        <v>49</v>
      </c>
      <c r="O20" s="3" t="s">
        <v>49</v>
      </c>
      <c r="P20" s="3" t="s">
        <v>49</v>
      </c>
      <c r="Q20" s="24">
        <f t="shared" si="0"/>
        <v>1</v>
      </c>
      <c r="R20" s="27"/>
      <c r="S20" s="3"/>
    </row>
    <row r="21" spans="2:19" ht="21.75" customHeight="1">
      <c r="B21" s="22">
        <v>17</v>
      </c>
      <c r="C21" s="12" t="s">
        <v>116</v>
      </c>
      <c r="D21" s="13" t="s">
        <v>51</v>
      </c>
      <c r="E21" s="13" t="s">
        <v>84</v>
      </c>
      <c r="F21" s="23" t="s">
        <v>5</v>
      </c>
      <c r="G21" s="13" t="s">
        <v>49</v>
      </c>
      <c r="H21" s="13" t="s">
        <v>49</v>
      </c>
      <c r="I21" s="13" t="s">
        <v>49</v>
      </c>
      <c r="J21" s="13" t="s">
        <v>48</v>
      </c>
      <c r="K21" s="13" t="s">
        <v>49</v>
      </c>
      <c r="L21" s="13" t="s">
        <v>49</v>
      </c>
      <c r="M21" s="13" t="s">
        <v>49</v>
      </c>
      <c r="N21" s="13" t="s">
        <v>48</v>
      </c>
      <c r="O21" s="13" t="s">
        <v>49</v>
      </c>
      <c r="P21" s="13" t="s">
        <v>48</v>
      </c>
      <c r="Q21" s="24">
        <f t="shared" si="0"/>
        <v>3</v>
      </c>
      <c r="R21" s="25"/>
      <c r="S21" s="13"/>
    </row>
    <row r="22" spans="2:19" ht="21.75" customHeight="1">
      <c r="B22" s="26">
        <v>18</v>
      </c>
      <c r="C22" s="2" t="s">
        <v>117</v>
      </c>
      <c r="D22" s="3" t="s">
        <v>51</v>
      </c>
      <c r="E22" s="3" t="s">
        <v>73</v>
      </c>
      <c r="F22" s="23" t="s">
        <v>7</v>
      </c>
      <c r="G22" s="3" t="s">
        <v>49</v>
      </c>
      <c r="H22" s="3" t="s">
        <v>49</v>
      </c>
      <c r="I22" s="3" t="s">
        <v>48</v>
      </c>
      <c r="J22" s="3" t="s">
        <v>48</v>
      </c>
      <c r="K22" s="3" t="s">
        <v>49</v>
      </c>
      <c r="L22" s="3" t="s">
        <v>48</v>
      </c>
      <c r="M22" s="3" t="s">
        <v>49</v>
      </c>
      <c r="N22" s="3" t="s">
        <v>48</v>
      </c>
      <c r="O22" s="3" t="s">
        <v>48</v>
      </c>
      <c r="P22" s="3" t="s">
        <v>49</v>
      </c>
      <c r="Q22" s="24">
        <f t="shared" si="0"/>
        <v>5</v>
      </c>
      <c r="R22" s="27"/>
      <c r="S22" s="3"/>
    </row>
    <row r="23" spans="2:19" ht="21.75" customHeight="1">
      <c r="B23" s="22">
        <v>19</v>
      </c>
      <c r="C23" s="12" t="s">
        <v>118</v>
      </c>
      <c r="D23" s="13" t="s">
        <v>54</v>
      </c>
      <c r="E23" s="13" t="s">
        <v>119</v>
      </c>
      <c r="F23" s="23" t="s">
        <v>7</v>
      </c>
      <c r="G23" s="13" t="s">
        <v>49</v>
      </c>
      <c r="H23" s="13" t="s">
        <v>49</v>
      </c>
      <c r="I23" s="13" t="s">
        <v>49</v>
      </c>
      <c r="J23" s="13" t="s">
        <v>49</v>
      </c>
      <c r="K23" s="13" t="s">
        <v>49</v>
      </c>
      <c r="L23" s="13" t="s">
        <v>49</v>
      </c>
      <c r="M23" s="13" t="s">
        <v>48</v>
      </c>
      <c r="N23" s="13" t="s">
        <v>49</v>
      </c>
      <c r="O23" s="13" t="s">
        <v>48</v>
      </c>
      <c r="P23" s="13" t="s">
        <v>49</v>
      </c>
      <c r="Q23" s="24">
        <f t="shared" si="0"/>
        <v>2</v>
      </c>
      <c r="R23" s="25"/>
      <c r="S23" s="13"/>
    </row>
  </sheetData>
  <mergeCells count="1">
    <mergeCell ref="B2:R2"/>
  </mergeCells>
  <conditionalFormatting sqref="F5:F23">
    <cfRule type="containsText" dxfId="23" priority="2" operator="containsText" text="GREEN">
      <formula>NOT(ISERROR(SEARCH("GREEN",F5)))</formula>
    </cfRule>
    <cfRule type="containsText" dxfId="22" priority="3" operator="containsText" text="YELLOW">
      <formula>NOT(ISERROR(SEARCH("YELLOW",F5)))</formula>
    </cfRule>
    <cfRule type="containsText" dxfId="21" priority="4" operator="containsText" text="RED">
      <formula>NOT(ISERROR(SEARCH("RED",F5)))</formula>
    </cfRule>
    <cfRule type="containsText" dxfId="20" priority="5" operator="containsText" text="BLACK">
      <formula>NOT(ISERROR(SEARCH("BLACK",F5)))</formula>
    </cfRule>
  </conditionalFormatting>
  <conditionalFormatting sqref="Q5:Q23">
    <cfRule type="cellIs" dxfId="19" priority="6" operator="between">
      <formula>0</formula>
      <formula>2</formula>
    </cfRule>
    <cfRule type="cellIs" dxfId="18" priority="7" operator="between">
      <formula>3</formula>
      <formula>5</formula>
    </cfRule>
    <cfRule type="cellIs" dxfId="17" priority="8" operator="between">
      <formula>6</formula>
      <formula>8</formula>
    </cfRule>
    <cfRule type="cellIs" dxfId="16" priority="9" operator="between">
      <formula>9</formula>
      <formula>99</formula>
    </cfRule>
  </conditionalFormatting>
  <dataValidations count="2">
    <dataValidation type="list" allowBlank="1" showErrorMessage="1" errorTitle="Invalid Entry" error="Please select a valid status." sqref="F5:F23" xr:uid="{00000000-0002-0000-0200-000000000000}">
      <formula1>"🟢 GREEN,🟡 YELLOW,🔴 RED,⚫ BLACK"</formula1>
      <formula2>0</formula2>
    </dataValidation>
    <dataValidation type="list" allowBlank="1" sqref="G5:P23" xr:uid="{00000000-0002-0000-02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090"/>
  </sheetPr>
  <dimension ref="B1:S23"/>
  <sheetViews>
    <sheetView showGridLines="0" topLeftCell="F1" zoomScale="70" zoomScaleNormal="70" workbookViewId="0">
      <pane ySplit="4" topLeftCell="A5" activePane="bottomLeft" state="frozen"/>
      <selection pane="bottomLeft" activeCell="Q5" sqref="Q5"/>
    </sheetView>
  </sheetViews>
  <sheetFormatPr defaultColWidth="8.7109375" defaultRowHeight="14.45"/>
  <cols>
    <col min="1" max="1" width="4" customWidth="1"/>
    <col min="2" max="2" width="24" customWidth="1"/>
    <col min="3" max="3" width="16" customWidth="1"/>
    <col min="4" max="4" width="14" customWidth="1"/>
    <col min="5" max="5" width="18" customWidth="1"/>
    <col min="6" max="15" width="14" customWidth="1"/>
    <col min="16" max="16" width="16" customWidth="1"/>
    <col min="17" max="17" width="22" customWidth="1"/>
    <col min="18" max="18" width="20" customWidth="1"/>
  </cols>
  <sheetData>
    <row r="1" spans="2:19" ht="7.5" customHeight="1"/>
    <row r="2" spans="2:19" ht="42" customHeight="1">
      <c r="B2" s="50" t="s">
        <v>120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2:19" ht="7.5" customHeight="1"/>
    <row r="4" spans="2:19" ht="36" customHeight="1"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13</v>
      </c>
      <c r="J4" s="21" t="s">
        <v>15</v>
      </c>
      <c r="K4" s="21" t="s">
        <v>35</v>
      </c>
      <c r="L4" s="21" t="s">
        <v>36</v>
      </c>
      <c r="M4" s="21" t="s">
        <v>17</v>
      </c>
      <c r="N4" s="21" t="s">
        <v>38</v>
      </c>
      <c r="O4" s="21" t="s">
        <v>19</v>
      </c>
      <c r="P4" s="21" t="s">
        <v>39</v>
      </c>
      <c r="Q4" s="21" t="s">
        <v>41</v>
      </c>
      <c r="R4" s="21" t="s">
        <v>43</v>
      </c>
      <c r="S4" s="21" t="s">
        <v>44</v>
      </c>
    </row>
    <row r="5" spans="2:19" ht="21.75" customHeight="1">
      <c r="B5" s="22">
        <v>1</v>
      </c>
      <c r="C5" s="12" t="s">
        <v>121</v>
      </c>
      <c r="D5" s="13" t="s">
        <v>68</v>
      </c>
      <c r="E5" s="13" t="s">
        <v>119</v>
      </c>
      <c r="F5" s="23" t="s">
        <v>4</v>
      </c>
      <c r="G5" s="13" t="s">
        <v>48</v>
      </c>
      <c r="H5" s="13" t="s">
        <v>48</v>
      </c>
      <c r="I5" s="13" t="s">
        <v>48</v>
      </c>
      <c r="J5" s="13" t="s">
        <v>48</v>
      </c>
      <c r="K5" s="13" t="s">
        <v>48</v>
      </c>
      <c r="L5" s="13" t="s">
        <v>49</v>
      </c>
      <c r="M5" s="13" t="s">
        <v>48</v>
      </c>
      <c r="N5" s="13" t="s">
        <v>48</v>
      </c>
      <c r="O5" s="13" t="s">
        <v>48</v>
      </c>
      <c r="P5" s="13" t="s">
        <v>49</v>
      </c>
      <c r="Q5" s="24">
        <f t="shared" ref="Q5:Q23" si="0">COUNTIF(G5:P5,"YES")</f>
        <v>8</v>
      </c>
      <c r="R5" s="25"/>
      <c r="S5" s="13"/>
    </row>
    <row r="6" spans="2:19" ht="21.75" customHeight="1">
      <c r="B6" s="26">
        <v>2</v>
      </c>
      <c r="C6" s="2" t="s">
        <v>122</v>
      </c>
      <c r="D6" s="3" t="s">
        <v>77</v>
      </c>
      <c r="E6" s="3" t="s">
        <v>64</v>
      </c>
      <c r="F6" s="23" t="s">
        <v>5</v>
      </c>
      <c r="G6" s="3" t="s">
        <v>49</v>
      </c>
      <c r="H6" s="3" t="s">
        <v>49</v>
      </c>
      <c r="I6" s="3" t="s">
        <v>49</v>
      </c>
      <c r="J6" s="3" t="s">
        <v>48</v>
      </c>
      <c r="K6" s="3" t="s">
        <v>49</v>
      </c>
      <c r="L6" s="3" t="s">
        <v>49</v>
      </c>
      <c r="M6" s="3" t="s">
        <v>48</v>
      </c>
      <c r="N6" s="3" t="s">
        <v>48</v>
      </c>
      <c r="O6" s="3" t="s">
        <v>49</v>
      </c>
      <c r="P6" s="3" t="s">
        <v>48</v>
      </c>
      <c r="Q6" s="24">
        <f t="shared" si="0"/>
        <v>4</v>
      </c>
      <c r="R6" s="27"/>
      <c r="S6" s="3"/>
    </row>
    <row r="7" spans="2:19" ht="21.75" customHeight="1">
      <c r="B7" s="22">
        <v>3</v>
      </c>
      <c r="C7" s="12" t="s">
        <v>123</v>
      </c>
      <c r="D7" s="13" t="s">
        <v>51</v>
      </c>
      <c r="E7" s="13" t="s">
        <v>124</v>
      </c>
      <c r="F7" s="23" t="s">
        <v>7</v>
      </c>
      <c r="G7" s="13" t="s">
        <v>49</v>
      </c>
      <c r="H7" s="13" t="s">
        <v>48</v>
      </c>
      <c r="I7" s="13" t="s">
        <v>48</v>
      </c>
      <c r="J7" s="13" t="s">
        <v>49</v>
      </c>
      <c r="K7" s="13" t="s">
        <v>48</v>
      </c>
      <c r="L7" s="13" t="s">
        <v>48</v>
      </c>
      <c r="M7" s="13" t="s">
        <v>49</v>
      </c>
      <c r="N7" s="13" t="s">
        <v>49</v>
      </c>
      <c r="O7" s="13" t="s">
        <v>48</v>
      </c>
      <c r="P7" s="13" t="s">
        <v>49</v>
      </c>
      <c r="Q7" s="24">
        <f t="shared" si="0"/>
        <v>5</v>
      </c>
      <c r="R7" s="25"/>
      <c r="S7" s="13"/>
    </row>
    <row r="8" spans="2:19" ht="21.75" customHeight="1">
      <c r="B8" s="26">
        <v>4</v>
      </c>
      <c r="C8" s="2" t="s">
        <v>125</v>
      </c>
      <c r="D8" s="3" t="s">
        <v>68</v>
      </c>
      <c r="E8" s="3" t="s">
        <v>126</v>
      </c>
      <c r="F8" s="23" t="s">
        <v>7</v>
      </c>
      <c r="G8" s="3" t="s">
        <v>49</v>
      </c>
      <c r="H8" s="3" t="s">
        <v>48</v>
      </c>
      <c r="I8" s="3" t="s">
        <v>49</v>
      </c>
      <c r="J8" s="3" t="s">
        <v>49</v>
      </c>
      <c r="K8" s="3" t="s">
        <v>48</v>
      </c>
      <c r="L8" s="3" t="s">
        <v>49</v>
      </c>
      <c r="M8" s="3" t="s">
        <v>49</v>
      </c>
      <c r="N8" s="3" t="s">
        <v>48</v>
      </c>
      <c r="O8" s="3" t="s">
        <v>49</v>
      </c>
      <c r="P8" s="3" t="s">
        <v>49</v>
      </c>
      <c r="Q8" s="24">
        <f t="shared" si="0"/>
        <v>3</v>
      </c>
      <c r="R8" s="27"/>
      <c r="S8" s="3"/>
    </row>
    <row r="9" spans="2:19" ht="21.75" customHeight="1">
      <c r="B9" s="22">
        <v>5</v>
      </c>
      <c r="C9" s="12" t="s">
        <v>127</v>
      </c>
      <c r="D9" s="13" t="s">
        <v>77</v>
      </c>
      <c r="E9" s="13" t="s">
        <v>114</v>
      </c>
      <c r="F9" s="23" t="s">
        <v>5</v>
      </c>
      <c r="G9" s="13" t="s">
        <v>49</v>
      </c>
      <c r="H9" s="13" t="s">
        <v>48</v>
      </c>
      <c r="I9" s="13" t="s">
        <v>49</v>
      </c>
      <c r="J9" s="13" t="s">
        <v>49</v>
      </c>
      <c r="K9" s="13" t="s">
        <v>49</v>
      </c>
      <c r="L9" s="13" t="s">
        <v>49</v>
      </c>
      <c r="M9" s="13" t="s">
        <v>49</v>
      </c>
      <c r="N9" s="13" t="s">
        <v>49</v>
      </c>
      <c r="O9" s="13" t="s">
        <v>49</v>
      </c>
      <c r="P9" s="13" t="s">
        <v>49</v>
      </c>
      <c r="Q9" s="24">
        <f t="shared" si="0"/>
        <v>1</v>
      </c>
      <c r="R9" s="25"/>
      <c r="S9" s="13"/>
    </row>
    <row r="10" spans="2:19" ht="21.75" customHeight="1">
      <c r="B10" s="26">
        <v>6</v>
      </c>
      <c r="C10" s="2" t="s">
        <v>128</v>
      </c>
      <c r="D10" s="3" t="s">
        <v>46</v>
      </c>
      <c r="E10" s="3" t="s">
        <v>119</v>
      </c>
      <c r="F10" s="23" t="s">
        <v>4</v>
      </c>
      <c r="G10" s="3" t="s">
        <v>49</v>
      </c>
      <c r="H10" s="3" t="s">
        <v>49</v>
      </c>
      <c r="I10" s="3" t="s">
        <v>48</v>
      </c>
      <c r="J10" s="3" t="s">
        <v>49</v>
      </c>
      <c r="K10" s="3" t="s">
        <v>49</v>
      </c>
      <c r="L10" s="3" t="s">
        <v>49</v>
      </c>
      <c r="M10" s="3" t="s">
        <v>49</v>
      </c>
      <c r="N10" s="3" t="s">
        <v>49</v>
      </c>
      <c r="O10" s="3" t="s">
        <v>48</v>
      </c>
      <c r="P10" s="3" t="s">
        <v>49</v>
      </c>
      <c r="Q10" s="24">
        <f t="shared" si="0"/>
        <v>2</v>
      </c>
      <c r="R10" s="27"/>
      <c r="S10" s="3"/>
    </row>
    <row r="11" spans="2:19" ht="21.75" customHeight="1">
      <c r="B11" s="22">
        <v>7</v>
      </c>
      <c r="C11" s="12" t="s">
        <v>129</v>
      </c>
      <c r="D11" s="13" t="s">
        <v>46</v>
      </c>
      <c r="E11" s="13" t="s">
        <v>84</v>
      </c>
      <c r="F11" s="23" t="s">
        <v>5</v>
      </c>
      <c r="G11" s="13" t="s">
        <v>49</v>
      </c>
      <c r="H11" s="13" t="s">
        <v>49</v>
      </c>
      <c r="I11" s="13" t="s">
        <v>49</v>
      </c>
      <c r="J11" s="13" t="s">
        <v>49</v>
      </c>
      <c r="K11" s="13" t="s">
        <v>49</v>
      </c>
      <c r="L11" s="13" t="s">
        <v>49</v>
      </c>
      <c r="M11" s="13" t="s">
        <v>49</v>
      </c>
      <c r="N11" s="13" t="s">
        <v>48</v>
      </c>
      <c r="O11" s="13" t="s">
        <v>49</v>
      </c>
      <c r="P11" s="13" t="s">
        <v>48</v>
      </c>
      <c r="Q11" s="24">
        <f t="shared" si="0"/>
        <v>2</v>
      </c>
      <c r="R11" s="25"/>
      <c r="S11" s="13"/>
    </row>
    <row r="12" spans="2:19" ht="21.75" customHeight="1">
      <c r="B12" s="26">
        <v>8</v>
      </c>
      <c r="C12" s="2" t="s">
        <v>130</v>
      </c>
      <c r="D12" s="3" t="s">
        <v>68</v>
      </c>
      <c r="E12" s="3" t="s">
        <v>131</v>
      </c>
      <c r="F12" s="23" t="s">
        <v>7</v>
      </c>
      <c r="G12" s="3" t="s">
        <v>49</v>
      </c>
      <c r="H12" s="3" t="s">
        <v>49</v>
      </c>
      <c r="I12" s="3" t="s">
        <v>48</v>
      </c>
      <c r="J12" s="3" t="s">
        <v>49</v>
      </c>
      <c r="K12" s="3" t="s">
        <v>49</v>
      </c>
      <c r="L12" s="3" t="s">
        <v>49</v>
      </c>
      <c r="M12" s="3" t="s">
        <v>48</v>
      </c>
      <c r="N12" s="3" t="s">
        <v>48</v>
      </c>
      <c r="O12" s="3" t="s">
        <v>49</v>
      </c>
      <c r="P12" s="3" t="s">
        <v>48</v>
      </c>
      <c r="Q12" s="24">
        <f t="shared" si="0"/>
        <v>4</v>
      </c>
      <c r="R12" s="27"/>
      <c r="S12" s="3"/>
    </row>
    <row r="13" spans="2:19" ht="21.75" customHeight="1">
      <c r="B13" s="22">
        <v>9</v>
      </c>
      <c r="C13" s="12" t="s">
        <v>132</v>
      </c>
      <c r="D13" s="13" t="s">
        <v>54</v>
      </c>
      <c r="E13" s="13" t="s">
        <v>66</v>
      </c>
      <c r="F13" s="23" t="s">
        <v>6</v>
      </c>
      <c r="G13" s="13" t="s">
        <v>49</v>
      </c>
      <c r="H13" s="13" t="s">
        <v>49</v>
      </c>
      <c r="I13" s="13" t="s">
        <v>49</v>
      </c>
      <c r="J13" s="13" t="s">
        <v>49</v>
      </c>
      <c r="K13" s="13" t="s">
        <v>49</v>
      </c>
      <c r="L13" s="13" t="s">
        <v>49</v>
      </c>
      <c r="M13" s="13" t="s">
        <v>49</v>
      </c>
      <c r="N13" s="13" t="s">
        <v>49</v>
      </c>
      <c r="O13" s="13" t="s">
        <v>49</v>
      </c>
      <c r="P13" s="13" t="s">
        <v>49</v>
      </c>
      <c r="Q13" s="24">
        <f t="shared" si="0"/>
        <v>0</v>
      </c>
      <c r="R13" s="25"/>
      <c r="S13" s="13"/>
    </row>
    <row r="14" spans="2:19" ht="21.75" customHeight="1">
      <c r="B14" s="26">
        <v>10</v>
      </c>
      <c r="C14" s="2" t="s">
        <v>133</v>
      </c>
      <c r="D14" s="3" t="s">
        <v>46</v>
      </c>
      <c r="E14" s="3" t="s">
        <v>119</v>
      </c>
      <c r="F14" s="23" t="s">
        <v>4</v>
      </c>
      <c r="G14" s="3" t="s">
        <v>48</v>
      </c>
      <c r="H14" s="3" t="s">
        <v>49</v>
      </c>
      <c r="I14" s="3" t="s">
        <v>48</v>
      </c>
      <c r="J14" s="3" t="s">
        <v>49</v>
      </c>
      <c r="K14" s="3" t="s">
        <v>48</v>
      </c>
      <c r="L14" s="3" t="s">
        <v>48</v>
      </c>
      <c r="M14" s="3" t="s">
        <v>48</v>
      </c>
      <c r="N14" s="3" t="s">
        <v>49</v>
      </c>
      <c r="O14" s="3" t="s">
        <v>49</v>
      </c>
      <c r="P14" s="3" t="s">
        <v>49</v>
      </c>
      <c r="Q14" s="24">
        <f t="shared" si="0"/>
        <v>5</v>
      </c>
      <c r="R14" s="27"/>
      <c r="S14" s="3"/>
    </row>
    <row r="15" spans="2:19" ht="21.75" customHeight="1">
      <c r="B15" s="22">
        <v>11</v>
      </c>
      <c r="C15" s="12" t="s">
        <v>134</v>
      </c>
      <c r="D15" s="13" t="s">
        <v>51</v>
      </c>
      <c r="E15" s="13" t="s">
        <v>135</v>
      </c>
      <c r="F15" s="23" t="s">
        <v>4</v>
      </c>
      <c r="G15" s="13" t="s">
        <v>48</v>
      </c>
      <c r="H15" s="13" t="s">
        <v>49</v>
      </c>
      <c r="I15" s="13" t="s">
        <v>48</v>
      </c>
      <c r="J15" s="13" t="s">
        <v>49</v>
      </c>
      <c r="K15" s="13" t="s">
        <v>48</v>
      </c>
      <c r="L15" s="13" t="s">
        <v>49</v>
      </c>
      <c r="M15" s="13" t="s">
        <v>48</v>
      </c>
      <c r="N15" s="13" t="s">
        <v>49</v>
      </c>
      <c r="O15" s="13" t="s">
        <v>48</v>
      </c>
      <c r="P15" s="13" t="s">
        <v>49</v>
      </c>
      <c r="Q15" s="24">
        <f t="shared" si="0"/>
        <v>5</v>
      </c>
      <c r="R15" s="25"/>
      <c r="S15" s="13"/>
    </row>
    <row r="16" spans="2:19" ht="21.75" customHeight="1">
      <c r="B16" s="26">
        <v>12</v>
      </c>
      <c r="C16" s="2" t="s">
        <v>136</v>
      </c>
      <c r="D16" s="3" t="s">
        <v>68</v>
      </c>
      <c r="E16" s="3" t="s">
        <v>137</v>
      </c>
      <c r="F16" s="23" t="s">
        <v>6</v>
      </c>
      <c r="G16" s="3" t="s">
        <v>48</v>
      </c>
      <c r="H16" s="3" t="s">
        <v>49</v>
      </c>
      <c r="I16" s="3" t="s">
        <v>48</v>
      </c>
      <c r="J16" s="3" t="s">
        <v>48</v>
      </c>
      <c r="K16" s="3" t="s">
        <v>49</v>
      </c>
      <c r="L16" s="3" t="s">
        <v>49</v>
      </c>
      <c r="M16" s="3" t="s">
        <v>49</v>
      </c>
      <c r="N16" s="3" t="s">
        <v>49</v>
      </c>
      <c r="O16" s="3" t="s">
        <v>49</v>
      </c>
      <c r="P16" s="3" t="s">
        <v>49</v>
      </c>
      <c r="Q16" s="24">
        <f t="shared" si="0"/>
        <v>3</v>
      </c>
      <c r="R16" s="27"/>
      <c r="S16" s="3"/>
    </row>
    <row r="17" spans="2:19" ht="21.75" customHeight="1">
      <c r="B17" s="22">
        <v>13</v>
      </c>
      <c r="C17" s="12" t="s">
        <v>138</v>
      </c>
      <c r="D17" s="13" t="s">
        <v>57</v>
      </c>
      <c r="E17" s="13" t="s">
        <v>124</v>
      </c>
      <c r="F17" s="23" t="s">
        <v>7</v>
      </c>
      <c r="G17" s="13" t="s">
        <v>48</v>
      </c>
      <c r="H17" s="13" t="s">
        <v>48</v>
      </c>
      <c r="I17" s="13" t="s">
        <v>49</v>
      </c>
      <c r="J17" s="13" t="s">
        <v>49</v>
      </c>
      <c r="K17" s="13" t="s">
        <v>48</v>
      </c>
      <c r="L17" s="13" t="s">
        <v>49</v>
      </c>
      <c r="M17" s="13" t="s">
        <v>48</v>
      </c>
      <c r="N17" s="13" t="s">
        <v>48</v>
      </c>
      <c r="O17" s="13" t="s">
        <v>48</v>
      </c>
      <c r="P17" s="13" t="s">
        <v>49</v>
      </c>
      <c r="Q17" s="24">
        <f t="shared" si="0"/>
        <v>6</v>
      </c>
      <c r="R17" s="25"/>
      <c r="S17" s="13"/>
    </row>
    <row r="18" spans="2:19" ht="21.75" customHeight="1">
      <c r="B18" s="26">
        <v>14</v>
      </c>
      <c r="C18" s="2" t="s">
        <v>139</v>
      </c>
      <c r="D18" s="3" t="s">
        <v>46</v>
      </c>
      <c r="E18" s="3" t="s">
        <v>140</v>
      </c>
      <c r="F18" s="23" t="s">
        <v>4</v>
      </c>
      <c r="G18" s="3" t="s">
        <v>49</v>
      </c>
      <c r="H18" s="3" t="s">
        <v>49</v>
      </c>
      <c r="I18" s="3" t="s">
        <v>49</v>
      </c>
      <c r="J18" s="3" t="s">
        <v>49</v>
      </c>
      <c r="K18" s="3" t="s">
        <v>49</v>
      </c>
      <c r="L18" s="3" t="s">
        <v>48</v>
      </c>
      <c r="M18" s="3" t="s">
        <v>49</v>
      </c>
      <c r="N18" s="3" t="s">
        <v>49</v>
      </c>
      <c r="O18" s="3" t="s">
        <v>49</v>
      </c>
      <c r="P18" s="3" t="s">
        <v>49</v>
      </c>
      <c r="Q18" s="24">
        <f t="shared" si="0"/>
        <v>1</v>
      </c>
      <c r="R18" s="27"/>
      <c r="S18" s="3"/>
    </row>
    <row r="19" spans="2:19" ht="21.75" customHeight="1">
      <c r="B19" s="22">
        <v>15</v>
      </c>
      <c r="C19" s="12" t="s">
        <v>141</v>
      </c>
      <c r="D19" s="13" t="s">
        <v>46</v>
      </c>
      <c r="E19" s="13" t="s">
        <v>142</v>
      </c>
      <c r="F19" s="23" t="s">
        <v>6</v>
      </c>
      <c r="G19" s="13" t="s">
        <v>49</v>
      </c>
      <c r="H19" s="13" t="s">
        <v>49</v>
      </c>
      <c r="I19" s="13" t="s">
        <v>48</v>
      </c>
      <c r="J19" s="13" t="s">
        <v>49</v>
      </c>
      <c r="K19" s="13" t="s">
        <v>48</v>
      </c>
      <c r="L19" s="13" t="s">
        <v>48</v>
      </c>
      <c r="M19" s="13" t="s">
        <v>48</v>
      </c>
      <c r="N19" s="13" t="s">
        <v>49</v>
      </c>
      <c r="O19" s="13" t="s">
        <v>48</v>
      </c>
      <c r="P19" s="13" t="s">
        <v>48</v>
      </c>
      <c r="Q19" s="24">
        <f t="shared" si="0"/>
        <v>6</v>
      </c>
      <c r="R19" s="25"/>
      <c r="S19" s="13"/>
    </row>
    <row r="20" spans="2:19" ht="21.75" customHeight="1">
      <c r="B20" s="26">
        <v>16</v>
      </c>
      <c r="C20" s="2" t="s">
        <v>143</v>
      </c>
      <c r="D20" s="3" t="s">
        <v>57</v>
      </c>
      <c r="E20" s="3" t="s">
        <v>62</v>
      </c>
      <c r="F20" s="23" t="s">
        <v>4</v>
      </c>
      <c r="G20" s="3" t="s">
        <v>48</v>
      </c>
      <c r="H20" s="3" t="s">
        <v>48</v>
      </c>
      <c r="I20" s="3" t="s">
        <v>49</v>
      </c>
      <c r="J20" s="3" t="s">
        <v>49</v>
      </c>
      <c r="K20" s="3" t="s">
        <v>49</v>
      </c>
      <c r="L20" s="3" t="s">
        <v>49</v>
      </c>
      <c r="M20" s="3" t="s">
        <v>49</v>
      </c>
      <c r="N20" s="3" t="s">
        <v>48</v>
      </c>
      <c r="O20" s="3" t="s">
        <v>48</v>
      </c>
      <c r="P20" s="3" t="s">
        <v>49</v>
      </c>
      <c r="Q20" s="24">
        <f t="shared" si="0"/>
        <v>4</v>
      </c>
      <c r="R20" s="27"/>
      <c r="S20" s="3"/>
    </row>
    <row r="21" spans="2:19" ht="21.75" customHeight="1">
      <c r="B21" s="22">
        <v>17</v>
      </c>
      <c r="C21" s="12" t="s">
        <v>144</v>
      </c>
      <c r="D21" s="13" t="s">
        <v>77</v>
      </c>
      <c r="E21" s="13" t="s">
        <v>145</v>
      </c>
      <c r="F21" s="23" t="s">
        <v>7</v>
      </c>
      <c r="G21" s="13" t="s">
        <v>48</v>
      </c>
      <c r="H21" s="13" t="s">
        <v>48</v>
      </c>
      <c r="I21" s="13" t="s">
        <v>49</v>
      </c>
      <c r="J21" s="13" t="s">
        <v>49</v>
      </c>
      <c r="K21" s="13" t="s">
        <v>48</v>
      </c>
      <c r="L21" s="13" t="s">
        <v>49</v>
      </c>
      <c r="M21" s="13" t="s">
        <v>48</v>
      </c>
      <c r="N21" s="13" t="s">
        <v>49</v>
      </c>
      <c r="O21" s="13" t="s">
        <v>48</v>
      </c>
      <c r="P21" s="13" t="s">
        <v>48</v>
      </c>
      <c r="Q21" s="24">
        <f t="shared" si="0"/>
        <v>6</v>
      </c>
      <c r="R21" s="25"/>
      <c r="S21" s="13"/>
    </row>
    <row r="22" spans="2:19" ht="21.75" customHeight="1">
      <c r="B22" s="26">
        <v>18</v>
      </c>
      <c r="C22" s="2" t="s">
        <v>146</v>
      </c>
      <c r="D22" s="3" t="s">
        <v>46</v>
      </c>
      <c r="E22" s="3" t="s">
        <v>147</v>
      </c>
      <c r="F22" s="23" t="s">
        <v>4</v>
      </c>
      <c r="G22" s="3" t="s">
        <v>48</v>
      </c>
      <c r="H22" s="3" t="s">
        <v>49</v>
      </c>
      <c r="I22" s="3" t="s">
        <v>49</v>
      </c>
      <c r="J22" s="3" t="s">
        <v>49</v>
      </c>
      <c r="K22" s="3" t="s">
        <v>49</v>
      </c>
      <c r="L22" s="3" t="s">
        <v>49</v>
      </c>
      <c r="M22" s="3" t="s">
        <v>48</v>
      </c>
      <c r="N22" s="3" t="s">
        <v>49</v>
      </c>
      <c r="O22" s="3" t="s">
        <v>49</v>
      </c>
      <c r="P22" s="3" t="s">
        <v>49</v>
      </c>
      <c r="Q22" s="24">
        <f t="shared" si="0"/>
        <v>2</v>
      </c>
      <c r="R22" s="27"/>
      <c r="S22" s="3"/>
    </row>
    <row r="23" spans="2:19" ht="21.75" customHeight="1">
      <c r="B23" s="22">
        <v>19</v>
      </c>
      <c r="C23" s="12" t="s">
        <v>148</v>
      </c>
      <c r="D23" s="13" t="s">
        <v>46</v>
      </c>
      <c r="E23" s="13" t="s">
        <v>58</v>
      </c>
      <c r="F23" s="23" t="s">
        <v>7</v>
      </c>
      <c r="G23" s="13" t="s">
        <v>49</v>
      </c>
      <c r="H23" s="13" t="s">
        <v>48</v>
      </c>
      <c r="I23" s="13" t="s">
        <v>49</v>
      </c>
      <c r="J23" s="13" t="s">
        <v>48</v>
      </c>
      <c r="K23" s="13" t="s">
        <v>49</v>
      </c>
      <c r="L23" s="13" t="s">
        <v>49</v>
      </c>
      <c r="M23" s="13" t="s">
        <v>49</v>
      </c>
      <c r="N23" s="13" t="s">
        <v>49</v>
      </c>
      <c r="O23" s="13" t="s">
        <v>48</v>
      </c>
      <c r="P23" s="13" t="s">
        <v>48</v>
      </c>
      <c r="Q23" s="24">
        <f t="shared" si="0"/>
        <v>4</v>
      </c>
      <c r="R23" s="25"/>
      <c r="S23" s="13"/>
    </row>
  </sheetData>
  <mergeCells count="1">
    <mergeCell ref="B2:R2"/>
  </mergeCells>
  <conditionalFormatting sqref="F5:F23">
    <cfRule type="containsText" dxfId="15" priority="2" operator="containsText" text="GREEN">
      <formula>NOT(ISERROR(SEARCH("GREEN",F5)))</formula>
    </cfRule>
    <cfRule type="containsText" dxfId="14" priority="3" operator="containsText" text="YELLOW">
      <formula>NOT(ISERROR(SEARCH("YELLOW",F5)))</formula>
    </cfRule>
    <cfRule type="containsText" dxfId="13" priority="4" operator="containsText" text="RED">
      <formula>NOT(ISERROR(SEARCH("RED",F5)))</formula>
    </cfRule>
    <cfRule type="containsText" dxfId="12" priority="5" operator="containsText" text="BLACK">
      <formula>NOT(ISERROR(SEARCH("BLACK",F5)))</formula>
    </cfRule>
  </conditionalFormatting>
  <conditionalFormatting sqref="Q5:Q23">
    <cfRule type="cellIs" dxfId="11" priority="6" operator="between">
      <formula>0</formula>
      <formula>2</formula>
    </cfRule>
    <cfRule type="cellIs" dxfId="10" priority="7" operator="between">
      <formula>3</formula>
      <formula>5</formula>
    </cfRule>
    <cfRule type="cellIs" dxfId="9" priority="8" operator="between">
      <formula>6</formula>
      <formula>8</formula>
    </cfRule>
    <cfRule type="cellIs" dxfId="8" priority="9" operator="between">
      <formula>9</formula>
      <formula>99</formula>
    </cfRule>
  </conditionalFormatting>
  <dataValidations count="2">
    <dataValidation type="list" allowBlank="1" showErrorMessage="1" errorTitle="Invalid Entry" error="Please select a valid status." sqref="F5:F23" xr:uid="{00000000-0002-0000-0300-000000000000}">
      <formula1>"🟢 GREEN,🟡 YELLOW,🔴 RED,⚫ BLACK"</formula1>
      <formula2>0</formula2>
    </dataValidation>
    <dataValidation type="list" allowBlank="1" sqref="G5:P23" xr:uid="{00000000-0002-0000-03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090"/>
  </sheetPr>
  <dimension ref="B1:S23"/>
  <sheetViews>
    <sheetView showGridLines="0" zoomScale="70" zoomScaleNormal="70" workbookViewId="0">
      <pane ySplit="4" topLeftCell="A5" activePane="bottomLeft" state="frozen"/>
      <selection pane="bottomLeft" activeCell="F5" sqref="F5"/>
    </sheetView>
  </sheetViews>
  <sheetFormatPr defaultColWidth="8.7109375" defaultRowHeight="14.45"/>
  <cols>
    <col min="1" max="1" width="4" customWidth="1"/>
    <col min="2" max="2" width="24" customWidth="1"/>
    <col min="3" max="3" width="16" customWidth="1"/>
    <col min="4" max="4" width="14" customWidth="1"/>
    <col min="5" max="5" width="18" customWidth="1"/>
    <col min="6" max="6" width="17.7109375" customWidth="1"/>
    <col min="7" max="15" width="14" customWidth="1"/>
    <col min="16" max="16" width="16" customWidth="1"/>
    <col min="17" max="17" width="22" customWidth="1"/>
    <col min="18" max="18" width="20" customWidth="1"/>
  </cols>
  <sheetData>
    <row r="1" spans="2:19" ht="7.5" customHeight="1"/>
    <row r="2" spans="2:19" ht="42" customHeight="1">
      <c r="B2" s="50" t="s">
        <v>149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</row>
    <row r="3" spans="2:19" ht="7.5" customHeight="1"/>
    <row r="4" spans="2:19" ht="36" customHeight="1">
      <c r="B4" s="21" t="s">
        <v>28</v>
      </c>
      <c r="C4" s="21" t="s">
        <v>29</v>
      </c>
      <c r="D4" s="21" t="s">
        <v>30</v>
      </c>
      <c r="E4" s="21" t="s">
        <v>31</v>
      </c>
      <c r="F4" s="21" t="s">
        <v>32</v>
      </c>
      <c r="G4" s="21" t="s">
        <v>33</v>
      </c>
      <c r="H4" s="21" t="s">
        <v>34</v>
      </c>
      <c r="I4" s="21" t="s">
        <v>13</v>
      </c>
      <c r="J4" s="21" t="s">
        <v>15</v>
      </c>
      <c r="K4" s="21" t="s">
        <v>35</v>
      </c>
      <c r="L4" s="21" t="s">
        <v>36</v>
      </c>
      <c r="M4" s="21" t="s">
        <v>17</v>
      </c>
      <c r="N4" s="21" t="s">
        <v>38</v>
      </c>
      <c r="O4" s="21" t="s">
        <v>19</v>
      </c>
      <c r="P4" s="21" t="s">
        <v>39</v>
      </c>
      <c r="Q4" s="21" t="s">
        <v>41</v>
      </c>
      <c r="R4" s="21" t="s">
        <v>43</v>
      </c>
      <c r="S4" s="21" t="s">
        <v>44</v>
      </c>
    </row>
    <row r="5" spans="2:19" ht="21.75" customHeight="1">
      <c r="B5" s="22">
        <v>1</v>
      </c>
      <c r="C5" s="12" t="s">
        <v>150</v>
      </c>
      <c r="D5" s="13" t="s">
        <v>57</v>
      </c>
      <c r="E5" s="13" t="s">
        <v>80</v>
      </c>
      <c r="F5" s="23" t="s">
        <v>4</v>
      </c>
      <c r="G5" s="13" t="s">
        <v>49</v>
      </c>
      <c r="H5" s="13" t="s">
        <v>49</v>
      </c>
      <c r="I5" s="13" t="s">
        <v>48</v>
      </c>
      <c r="J5" s="13" t="s">
        <v>48</v>
      </c>
      <c r="K5" s="13" t="s">
        <v>49</v>
      </c>
      <c r="L5" s="13" t="s">
        <v>49</v>
      </c>
      <c r="M5" s="13" t="s">
        <v>49</v>
      </c>
      <c r="N5" s="13" t="s">
        <v>49</v>
      </c>
      <c r="O5" s="13" t="s">
        <v>48</v>
      </c>
      <c r="P5" s="13" t="s">
        <v>49</v>
      </c>
      <c r="Q5" s="24">
        <f t="shared" ref="Q5:Q23" si="0">COUNTIF(G5:P5,"YES")</f>
        <v>3</v>
      </c>
      <c r="R5" s="25"/>
      <c r="S5" s="13"/>
    </row>
    <row r="6" spans="2:19" ht="21.75" customHeight="1">
      <c r="B6" s="26">
        <v>2</v>
      </c>
      <c r="C6" s="2" t="s">
        <v>151</v>
      </c>
      <c r="D6" s="3" t="s">
        <v>54</v>
      </c>
      <c r="E6" s="3" t="s">
        <v>101</v>
      </c>
      <c r="F6" s="23" t="s">
        <v>7</v>
      </c>
      <c r="G6" s="3" t="s">
        <v>49</v>
      </c>
      <c r="H6" s="3" t="s">
        <v>49</v>
      </c>
      <c r="I6" s="3" t="s">
        <v>49</v>
      </c>
      <c r="J6" s="3" t="s">
        <v>49</v>
      </c>
      <c r="K6" s="3" t="s">
        <v>48</v>
      </c>
      <c r="L6" s="3" t="s">
        <v>48</v>
      </c>
      <c r="M6" s="3" t="s">
        <v>49</v>
      </c>
      <c r="N6" s="3" t="s">
        <v>49</v>
      </c>
      <c r="O6" s="3" t="s">
        <v>49</v>
      </c>
      <c r="P6" s="3" t="s">
        <v>49</v>
      </c>
      <c r="Q6" s="24">
        <f t="shared" si="0"/>
        <v>2</v>
      </c>
      <c r="R6" s="27"/>
      <c r="S6" s="3"/>
    </row>
    <row r="7" spans="2:19" ht="21.75" customHeight="1">
      <c r="B7" s="22">
        <v>3</v>
      </c>
      <c r="C7" s="12" t="s">
        <v>152</v>
      </c>
      <c r="D7" s="13" t="s">
        <v>77</v>
      </c>
      <c r="E7" s="13" t="s">
        <v>52</v>
      </c>
      <c r="F7" s="23" t="s">
        <v>4</v>
      </c>
      <c r="G7" s="13" t="s">
        <v>49</v>
      </c>
      <c r="H7" s="13" t="s">
        <v>48</v>
      </c>
      <c r="I7" s="13" t="s">
        <v>49</v>
      </c>
      <c r="J7" s="13" t="s">
        <v>49</v>
      </c>
      <c r="K7" s="13" t="s">
        <v>49</v>
      </c>
      <c r="L7" s="13" t="s">
        <v>48</v>
      </c>
      <c r="M7" s="13" t="s">
        <v>49</v>
      </c>
      <c r="N7" s="13" t="s">
        <v>49</v>
      </c>
      <c r="O7" s="13" t="s">
        <v>48</v>
      </c>
      <c r="P7" s="13" t="s">
        <v>49</v>
      </c>
      <c r="Q7" s="24">
        <f t="shared" si="0"/>
        <v>3</v>
      </c>
      <c r="R7" s="25"/>
      <c r="S7" s="13"/>
    </row>
    <row r="8" spans="2:19" ht="21.75" customHeight="1">
      <c r="B8" s="26">
        <v>4</v>
      </c>
      <c r="C8" s="2" t="s">
        <v>153</v>
      </c>
      <c r="D8" s="3" t="s">
        <v>54</v>
      </c>
      <c r="E8" s="3" t="s">
        <v>154</v>
      </c>
      <c r="F8" s="23" t="s">
        <v>5</v>
      </c>
      <c r="G8" s="3" t="s">
        <v>49</v>
      </c>
      <c r="H8" s="3" t="s">
        <v>49</v>
      </c>
      <c r="I8" s="3" t="s">
        <v>49</v>
      </c>
      <c r="J8" s="3" t="s">
        <v>49</v>
      </c>
      <c r="K8" s="3" t="s">
        <v>49</v>
      </c>
      <c r="L8" s="3" t="s">
        <v>48</v>
      </c>
      <c r="M8" s="3" t="s">
        <v>48</v>
      </c>
      <c r="N8" s="3" t="s">
        <v>49</v>
      </c>
      <c r="O8" s="3" t="s">
        <v>49</v>
      </c>
      <c r="P8" s="3" t="s">
        <v>48</v>
      </c>
      <c r="Q8" s="24">
        <f t="shared" si="0"/>
        <v>3</v>
      </c>
      <c r="R8" s="27"/>
      <c r="S8" s="3"/>
    </row>
    <row r="9" spans="2:19" ht="21.75" customHeight="1">
      <c r="B9" s="22">
        <v>5</v>
      </c>
      <c r="C9" s="12" t="s">
        <v>155</v>
      </c>
      <c r="D9" s="13" t="s">
        <v>46</v>
      </c>
      <c r="E9" s="13" t="s">
        <v>114</v>
      </c>
      <c r="F9" s="23" t="s">
        <v>7</v>
      </c>
      <c r="G9" s="13" t="s">
        <v>48</v>
      </c>
      <c r="H9" s="13" t="s">
        <v>48</v>
      </c>
      <c r="I9" s="13" t="s">
        <v>49</v>
      </c>
      <c r="J9" s="13" t="s">
        <v>48</v>
      </c>
      <c r="K9" s="13" t="s">
        <v>48</v>
      </c>
      <c r="L9" s="13" t="s">
        <v>49</v>
      </c>
      <c r="M9" s="13" t="s">
        <v>49</v>
      </c>
      <c r="N9" s="13" t="s">
        <v>48</v>
      </c>
      <c r="O9" s="13" t="s">
        <v>49</v>
      </c>
      <c r="P9" s="13" t="s">
        <v>49</v>
      </c>
      <c r="Q9" s="24">
        <f t="shared" si="0"/>
        <v>5</v>
      </c>
      <c r="R9" s="25"/>
      <c r="S9" s="13"/>
    </row>
    <row r="10" spans="2:19" ht="21.75" customHeight="1">
      <c r="B10" s="26">
        <v>6</v>
      </c>
      <c r="C10" s="2" t="s">
        <v>156</v>
      </c>
      <c r="D10" s="3" t="s">
        <v>68</v>
      </c>
      <c r="E10" s="3" t="s">
        <v>147</v>
      </c>
      <c r="F10" s="23" t="s">
        <v>7</v>
      </c>
      <c r="G10" s="3" t="s">
        <v>48</v>
      </c>
      <c r="H10" s="3" t="s">
        <v>48</v>
      </c>
      <c r="I10" s="3" t="s">
        <v>49</v>
      </c>
      <c r="J10" s="3" t="s">
        <v>49</v>
      </c>
      <c r="K10" s="3" t="s">
        <v>49</v>
      </c>
      <c r="L10" s="3" t="s">
        <v>49</v>
      </c>
      <c r="M10" s="3" t="s">
        <v>49</v>
      </c>
      <c r="N10" s="3" t="s">
        <v>49</v>
      </c>
      <c r="O10" s="3" t="s">
        <v>49</v>
      </c>
      <c r="P10" s="3" t="s">
        <v>48</v>
      </c>
      <c r="Q10" s="24">
        <f t="shared" si="0"/>
        <v>3</v>
      </c>
      <c r="R10" s="27"/>
      <c r="S10" s="3"/>
    </row>
    <row r="11" spans="2:19" ht="21.75" customHeight="1">
      <c r="B11" s="22">
        <v>7</v>
      </c>
      <c r="C11" s="12" t="s">
        <v>157</v>
      </c>
      <c r="D11" s="13" t="s">
        <v>54</v>
      </c>
      <c r="E11" s="13" t="s">
        <v>86</v>
      </c>
      <c r="F11" s="23" t="s">
        <v>7</v>
      </c>
      <c r="G11" s="13" t="s">
        <v>48</v>
      </c>
      <c r="H11" s="13" t="s">
        <v>49</v>
      </c>
      <c r="I11" s="13" t="s">
        <v>49</v>
      </c>
      <c r="J11" s="13" t="s">
        <v>48</v>
      </c>
      <c r="K11" s="13" t="s">
        <v>48</v>
      </c>
      <c r="L11" s="13" t="s">
        <v>49</v>
      </c>
      <c r="M11" s="13" t="s">
        <v>49</v>
      </c>
      <c r="N11" s="13" t="s">
        <v>49</v>
      </c>
      <c r="O11" s="13" t="s">
        <v>49</v>
      </c>
      <c r="P11" s="13" t="s">
        <v>49</v>
      </c>
      <c r="Q11" s="24">
        <f t="shared" si="0"/>
        <v>3</v>
      </c>
      <c r="R11" s="25"/>
      <c r="S11" s="13"/>
    </row>
    <row r="12" spans="2:19" ht="21.75" customHeight="1">
      <c r="B12" s="26">
        <v>8</v>
      </c>
      <c r="C12" s="2" t="s">
        <v>158</v>
      </c>
      <c r="D12" s="3" t="s">
        <v>68</v>
      </c>
      <c r="E12" s="3" t="s">
        <v>145</v>
      </c>
      <c r="F12" s="23" t="s">
        <v>6</v>
      </c>
      <c r="G12" s="3" t="s">
        <v>49</v>
      </c>
      <c r="H12" s="3" t="s">
        <v>49</v>
      </c>
      <c r="I12" s="3" t="s">
        <v>49</v>
      </c>
      <c r="J12" s="3" t="s">
        <v>48</v>
      </c>
      <c r="K12" s="3" t="s">
        <v>49</v>
      </c>
      <c r="L12" s="3" t="s">
        <v>49</v>
      </c>
      <c r="M12" s="3" t="s">
        <v>49</v>
      </c>
      <c r="N12" s="3" t="s">
        <v>49</v>
      </c>
      <c r="O12" s="3" t="s">
        <v>49</v>
      </c>
      <c r="P12" s="3" t="s">
        <v>49</v>
      </c>
      <c r="Q12" s="24">
        <f t="shared" si="0"/>
        <v>1</v>
      </c>
      <c r="R12" s="27"/>
      <c r="S12" s="3"/>
    </row>
    <row r="13" spans="2:19" ht="21.75" customHeight="1">
      <c r="B13" s="22">
        <v>9</v>
      </c>
      <c r="C13" s="12" t="s">
        <v>159</v>
      </c>
      <c r="D13" s="13" t="s">
        <v>51</v>
      </c>
      <c r="E13" s="13" t="s">
        <v>160</v>
      </c>
      <c r="F13" s="23" t="s">
        <v>6</v>
      </c>
      <c r="G13" s="13" t="s">
        <v>48</v>
      </c>
      <c r="H13" s="13" t="s">
        <v>48</v>
      </c>
      <c r="I13" s="13" t="s">
        <v>49</v>
      </c>
      <c r="J13" s="13" t="s">
        <v>49</v>
      </c>
      <c r="K13" s="13" t="s">
        <v>48</v>
      </c>
      <c r="L13" s="13" t="s">
        <v>49</v>
      </c>
      <c r="M13" s="13" t="s">
        <v>48</v>
      </c>
      <c r="N13" s="13" t="s">
        <v>49</v>
      </c>
      <c r="O13" s="13" t="s">
        <v>49</v>
      </c>
      <c r="P13" s="13" t="s">
        <v>49</v>
      </c>
      <c r="Q13" s="24">
        <f t="shared" si="0"/>
        <v>4</v>
      </c>
      <c r="R13" s="25"/>
      <c r="S13" s="13"/>
    </row>
    <row r="14" spans="2:19" ht="21.75" customHeight="1">
      <c r="B14" s="26">
        <v>10</v>
      </c>
      <c r="C14" s="2" t="s">
        <v>161</v>
      </c>
      <c r="D14" s="3" t="s">
        <v>54</v>
      </c>
      <c r="E14" s="3" t="s">
        <v>84</v>
      </c>
      <c r="F14" s="23" t="s">
        <v>4</v>
      </c>
      <c r="G14" s="3" t="s">
        <v>48</v>
      </c>
      <c r="H14" s="3" t="s">
        <v>49</v>
      </c>
      <c r="I14" s="3" t="s">
        <v>49</v>
      </c>
      <c r="J14" s="3" t="s">
        <v>49</v>
      </c>
      <c r="K14" s="3" t="s">
        <v>48</v>
      </c>
      <c r="L14" s="3" t="s">
        <v>49</v>
      </c>
      <c r="M14" s="3" t="s">
        <v>48</v>
      </c>
      <c r="N14" s="3" t="s">
        <v>49</v>
      </c>
      <c r="O14" s="3" t="s">
        <v>49</v>
      </c>
      <c r="P14" s="3" t="s">
        <v>48</v>
      </c>
      <c r="Q14" s="24">
        <f t="shared" si="0"/>
        <v>4</v>
      </c>
      <c r="R14" s="27"/>
      <c r="S14" s="3"/>
    </row>
    <row r="15" spans="2:19" ht="21.75" customHeight="1">
      <c r="B15" s="22">
        <v>11</v>
      </c>
      <c r="C15" s="12" t="s">
        <v>162</v>
      </c>
      <c r="D15" s="13" t="s">
        <v>77</v>
      </c>
      <c r="E15" s="13" t="s">
        <v>163</v>
      </c>
      <c r="F15" s="23" t="s">
        <v>5</v>
      </c>
      <c r="G15" s="13" t="s">
        <v>48</v>
      </c>
      <c r="H15" s="13" t="s">
        <v>49</v>
      </c>
      <c r="I15" s="13" t="s">
        <v>49</v>
      </c>
      <c r="J15" s="13" t="s">
        <v>49</v>
      </c>
      <c r="K15" s="13" t="s">
        <v>49</v>
      </c>
      <c r="L15" s="13" t="s">
        <v>49</v>
      </c>
      <c r="M15" s="13" t="s">
        <v>48</v>
      </c>
      <c r="N15" s="13" t="s">
        <v>49</v>
      </c>
      <c r="O15" s="13" t="s">
        <v>49</v>
      </c>
      <c r="P15" s="13" t="s">
        <v>49</v>
      </c>
      <c r="Q15" s="24">
        <f t="shared" si="0"/>
        <v>2</v>
      </c>
      <c r="R15" s="25"/>
      <c r="S15" s="13"/>
    </row>
    <row r="16" spans="2:19" ht="21.75" customHeight="1">
      <c r="B16" s="26">
        <v>12</v>
      </c>
      <c r="C16" s="2" t="s">
        <v>164</v>
      </c>
      <c r="D16" s="3" t="s">
        <v>46</v>
      </c>
      <c r="E16" s="3" t="s">
        <v>52</v>
      </c>
      <c r="F16" s="23" t="s">
        <v>4</v>
      </c>
      <c r="G16" s="3" t="s">
        <v>49</v>
      </c>
      <c r="H16" s="3" t="s">
        <v>48</v>
      </c>
      <c r="I16" s="3" t="s">
        <v>48</v>
      </c>
      <c r="J16" s="3" t="s">
        <v>49</v>
      </c>
      <c r="K16" s="3" t="s">
        <v>48</v>
      </c>
      <c r="L16" s="3" t="s">
        <v>48</v>
      </c>
      <c r="M16" s="3" t="s">
        <v>49</v>
      </c>
      <c r="N16" s="3" t="s">
        <v>48</v>
      </c>
      <c r="O16" s="3" t="s">
        <v>48</v>
      </c>
      <c r="P16" s="3" t="s">
        <v>49</v>
      </c>
      <c r="Q16" s="24">
        <f t="shared" si="0"/>
        <v>6</v>
      </c>
      <c r="R16" s="27"/>
      <c r="S16" s="3"/>
    </row>
    <row r="17" spans="2:19" ht="21.75" customHeight="1">
      <c r="B17" s="22">
        <v>13</v>
      </c>
      <c r="C17" s="12" t="s">
        <v>165</v>
      </c>
      <c r="D17" s="13" t="s">
        <v>57</v>
      </c>
      <c r="E17" s="13" t="s">
        <v>166</v>
      </c>
      <c r="F17" s="23" t="s">
        <v>4</v>
      </c>
      <c r="G17" s="13" t="s">
        <v>49</v>
      </c>
      <c r="H17" s="13" t="s">
        <v>48</v>
      </c>
      <c r="I17" s="13" t="s">
        <v>49</v>
      </c>
      <c r="J17" s="13" t="s">
        <v>49</v>
      </c>
      <c r="K17" s="13" t="s">
        <v>49</v>
      </c>
      <c r="L17" s="13" t="s">
        <v>49</v>
      </c>
      <c r="M17" s="13" t="s">
        <v>48</v>
      </c>
      <c r="N17" s="13" t="s">
        <v>48</v>
      </c>
      <c r="O17" s="13" t="s">
        <v>49</v>
      </c>
      <c r="P17" s="13" t="s">
        <v>49</v>
      </c>
      <c r="Q17" s="24">
        <f t="shared" si="0"/>
        <v>3</v>
      </c>
      <c r="R17" s="25"/>
      <c r="S17" s="13"/>
    </row>
    <row r="18" spans="2:19" ht="21.75" customHeight="1">
      <c r="B18" s="26">
        <v>14</v>
      </c>
      <c r="C18" s="2" t="s">
        <v>167</v>
      </c>
      <c r="D18" s="3" t="s">
        <v>51</v>
      </c>
      <c r="E18" s="3" t="s">
        <v>47</v>
      </c>
      <c r="F18" s="23" t="s">
        <v>5</v>
      </c>
      <c r="G18" s="3" t="s">
        <v>48</v>
      </c>
      <c r="H18" s="3" t="s">
        <v>49</v>
      </c>
      <c r="I18" s="3" t="s">
        <v>49</v>
      </c>
      <c r="J18" s="3" t="s">
        <v>49</v>
      </c>
      <c r="K18" s="3" t="s">
        <v>48</v>
      </c>
      <c r="L18" s="3" t="s">
        <v>49</v>
      </c>
      <c r="M18" s="3" t="s">
        <v>49</v>
      </c>
      <c r="N18" s="3" t="s">
        <v>48</v>
      </c>
      <c r="O18" s="3" t="s">
        <v>48</v>
      </c>
      <c r="P18" s="3" t="s">
        <v>49</v>
      </c>
      <c r="Q18" s="24">
        <f t="shared" si="0"/>
        <v>4</v>
      </c>
      <c r="R18" s="27"/>
      <c r="S18" s="3"/>
    </row>
    <row r="19" spans="2:19" ht="21.75" customHeight="1">
      <c r="B19" s="22">
        <v>15</v>
      </c>
      <c r="C19" s="12" t="s">
        <v>168</v>
      </c>
      <c r="D19" s="13" t="s">
        <v>77</v>
      </c>
      <c r="E19" s="13" t="s">
        <v>169</v>
      </c>
      <c r="F19" s="23" t="s">
        <v>6</v>
      </c>
      <c r="G19" s="13" t="s">
        <v>48</v>
      </c>
      <c r="H19" s="13" t="s">
        <v>49</v>
      </c>
      <c r="I19" s="13" t="s">
        <v>49</v>
      </c>
      <c r="J19" s="13" t="s">
        <v>49</v>
      </c>
      <c r="K19" s="13" t="s">
        <v>48</v>
      </c>
      <c r="L19" s="13" t="s">
        <v>48</v>
      </c>
      <c r="M19" s="13" t="s">
        <v>49</v>
      </c>
      <c r="N19" s="13" t="s">
        <v>49</v>
      </c>
      <c r="O19" s="13" t="s">
        <v>49</v>
      </c>
      <c r="P19" s="13" t="s">
        <v>49</v>
      </c>
      <c r="Q19" s="24">
        <f t="shared" si="0"/>
        <v>3</v>
      </c>
      <c r="R19" s="25"/>
      <c r="S19" s="13"/>
    </row>
    <row r="20" spans="2:19" ht="21.75" customHeight="1">
      <c r="B20" s="26">
        <v>16</v>
      </c>
      <c r="C20" s="2" t="s">
        <v>170</v>
      </c>
      <c r="D20" s="3" t="s">
        <v>77</v>
      </c>
      <c r="E20" s="3" t="s">
        <v>114</v>
      </c>
      <c r="F20" s="23" t="s">
        <v>6</v>
      </c>
      <c r="G20" s="3" t="s">
        <v>49</v>
      </c>
      <c r="H20" s="3" t="s">
        <v>49</v>
      </c>
      <c r="I20" s="3" t="s">
        <v>48</v>
      </c>
      <c r="J20" s="3" t="s">
        <v>49</v>
      </c>
      <c r="K20" s="3" t="s">
        <v>49</v>
      </c>
      <c r="L20" s="3" t="s">
        <v>48</v>
      </c>
      <c r="M20" s="3" t="s">
        <v>48</v>
      </c>
      <c r="N20" s="3" t="s">
        <v>49</v>
      </c>
      <c r="O20" s="3" t="s">
        <v>49</v>
      </c>
      <c r="P20" s="3" t="s">
        <v>49</v>
      </c>
      <c r="Q20" s="24">
        <f t="shared" si="0"/>
        <v>3</v>
      </c>
      <c r="R20" s="27"/>
      <c r="S20" s="3"/>
    </row>
    <row r="21" spans="2:19" ht="21.75" customHeight="1">
      <c r="B21" s="22">
        <v>17</v>
      </c>
      <c r="C21" s="12" t="s">
        <v>171</v>
      </c>
      <c r="D21" s="13" t="s">
        <v>51</v>
      </c>
      <c r="E21" s="13" t="s">
        <v>145</v>
      </c>
      <c r="F21" s="23" t="s">
        <v>6</v>
      </c>
      <c r="G21" s="13" t="s">
        <v>48</v>
      </c>
      <c r="H21" s="13" t="s">
        <v>49</v>
      </c>
      <c r="I21" s="13" t="s">
        <v>49</v>
      </c>
      <c r="J21" s="13" t="s">
        <v>48</v>
      </c>
      <c r="K21" s="13" t="s">
        <v>49</v>
      </c>
      <c r="L21" s="13" t="s">
        <v>48</v>
      </c>
      <c r="M21" s="13" t="s">
        <v>49</v>
      </c>
      <c r="N21" s="13" t="s">
        <v>49</v>
      </c>
      <c r="O21" s="13" t="s">
        <v>49</v>
      </c>
      <c r="P21" s="13" t="s">
        <v>48</v>
      </c>
      <c r="Q21" s="24">
        <f t="shared" si="0"/>
        <v>4</v>
      </c>
      <c r="R21" s="25"/>
      <c r="S21" s="13"/>
    </row>
    <row r="22" spans="2:19" ht="21.75" customHeight="1">
      <c r="B22" s="26">
        <v>18</v>
      </c>
      <c r="C22" s="2" t="s">
        <v>172</v>
      </c>
      <c r="D22" s="3" t="s">
        <v>51</v>
      </c>
      <c r="E22" s="3" t="s">
        <v>119</v>
      </c>
      <c r="F22" s="23" t="s">
        <v>5</v>
      </c>
      <c r="G22" s="3" t="s">
        <v>49</v>
      </c>
      <c r="H22" s="3" t="s">
        <v>49</v>
      </c>
      <c r="I22" s="3" t="s">
        <v>48</v>
      </c>
      <c r="J22" s="3" t="s">
        <v>48</v>
      </c>
      <c r="K22" s="3" t="s">
        <v>48</v>
      </c>
      <c r="L22" s="3" t="s">
        <v>49</v>
      </c>
      <c r="M22" s="3" t="s">
        <v>49</v>
      </c>
      <c r="N22" s="3" t="s">
        <v>48</v>
      </c>
      <c r="O22" s="3" t="s">
        <v>49</v>
      </c>
      <c r="P22" s="3" t="s">
        <v>49</v>
      </c>
      <c r="Q22" s="24">
        <f t="shared" si="0"/>
        <v>4</v>
      </c>
      <c r="R22" s="27"/>
      <c r="S22" s="3"/>
    </row>
    <row r="23" spans="2:19" ht="21.75" customHeight="1">
      <c r="B23" s="22">
        <v>19</v>
      </c>
      <c r="C23" s="12" t="s">
        <v>173</v>
      </c>
      <c r="D23" s="13" t="s">
        <v>77</v>
      </c>
      <c r="E23" s="13" t="s">
        <v>147</v>
      </c>
      <c r="F23" s="23" t="s">
        <v>6</v>
      </c>
      <c r="G23" s="13" t="s">
        <v>49</v>
      </c>
      <c r="H23" s="13" t="s">
        <v>49</v>
      </c>
      <c r="I23" s="13" t="s">
        <v>48</v>
      </c>
      <c r="J23" s="13" t="s">
        <v>48</v>
      </c>
      <c r="K23" s="13" t="s">
        <v>48</v>
      </c>
      <c r="L23" s="13" t="s">
        <v>49</v>
      </c>
      <c r="M23" s="13" t="s">
        <v>49</v>
      </c>
      <c r="N23" s="13" t="s">
        <v>49</v>
      </c>
      <c r="O23" s="13" t="s">
        <v>49</v>
      </c>
      <c r="P23" s="13" t="s">
        <v>49</v>
      </c>
      <c r="Q23" s="24">
        <f t="shared" si="0"/>
        <v>3</v>
      </c>
      <c r="R23" s="25"/>
      <c r="S23" s="13"/>
    </row>
  </sheetData>
  <mergeCells count="1">
    <mergeCell ref="B2:R2"/>
  </mergeCells>
  <conditionalFormatting sqref="F5:F23">
    <cfRule type="containsText" dxfId="7" priority="2" operator="containsText" text="GREEN">
      <formula>NOT(ISERROR(SEARCH("GREEN",F5)))</formula>
    </cfRule>
    <cfRule type="containsText" dxfId="6" priority="3" operator="containsText" text="YELLOW">
      <formula>NOT(ISERROR(SEARCH("YELLOW",F5)))</formula>
    </cfRule>
    <cfRule type="containsText" dxfId="5" priority="4" operator="containsText" text="RED">
      <formula>NOT(ISERROR(SEARCH("RED",F5)))</formula>
    </cfRule>
    <cfRule type="containsText" dxfId="4" priority="5" operator="containsText" text="BLACK">
      <formula>NOT(ISERROR(SEARCH("BLACK",F5)))</formula>
    </cfRule>
  </conditionalFormatting>
  <conditionalFormatting sqref="Q5:Q23">
    <cfRule type="cellIs" dxfId="3" priority="6" operator="between">
      <formula>0</formula>
      <formula>2</formula>
    </cfRule>
    <cfRule type="cellIs" dxfId="2" priority="7" operator="between">
      <formula>3</formula>
      <formula>5</formula>
    </cfRule>
    <cfRule type="cellIs" dxfId="1" priority="8" operator="between">
      <formula>6</formula>
      <formula>8</formula>
    </cfRule>
    <cfRule type="cellIs" dxfId="0" priority="9" operator="between">
      <formula>9</formula>
      <formula>99</formula>
    </cfRule>
  </conditionalFormatting>
  <dataValidations count="2">
    <dataValidation type="list" allowBlank="1" showErrorMessage="1" errorTitle="Invalid Entry" error="Please select a valid status." sqref="F5:F23" xr:uid="{00000000-0002-0000-0400-000000000000}">
      <formula1>"🟢 GREEN,🟡 YELLOW,🔴 RED,⚫ BLACK"</formula1>
      <formula2>0</formula2>
    </dataValidation>
    <dataValidation type="list" allowBlank="1" sqref="G5:P23" xr:uid="{00000000-0002-0000-04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D2D2D"/>
  </sheetPr>
  <dimension ref="B1:I14"/>
  <sheetViews>
    <sheetView showGridLines="0" zoomScaleNormal="100" workbookViewId="0">
      <selection activeCell="I5" sqref="I5"/>
    </sheetView>
  </sheetViews>
  <sheetFormatPr defaultColWidth="8.7109375" defaultRowHeight="14.45"/>
  <cols>
    <col min="1" max="1" width="4" customWidth="1"/>
    <col min="2" max="2" width="5" customWidth="1"/>
    <col min="3" max="3" width="24" customWidth="1"/>
    <col min="4" max="5" width="16" customWidth="1"/>
    <col min="6" max="7" width="20" customWidth="1"/>
    <col min="8" max="8" width="22" customWidth="1"/>
    <col min="9" max="9" width="31.7109375" customWidth="1"/>
  </cols>
  <sheetData>
    <row r="1" spans="2:9" ht="7.5" customHeight="1"/>
    <row r="2" spans="2:9" ht="42" customHeight="1">
      <c r="B2" s="51" t="s">
        <v>174</v>
      </c>
      <c r="C2" s="51"/>
      <c r="D2" s="51"/>
      <c r="E2" s="51"/>
      <c r="F2" s="51"/>
      <c r="G2" s="51"/>
      <c r="H2" s="51"/>
    </row>
    <row r="3" spans="2:9" ht="7.5" customHeight="1"/>
    <row r="4" spans="2:9" ht="36" customHeight="1">
      <c r="B4" s="28" t="s">
        <v>28</v>
      </c>
      <c r="C4" s="28" t="s">
        <v>29</v>
      </c>
      <c r="D4" s="28" t="s">
        <v>2</v>
      </c>
      <c r="E4" s="28" t="s">
        <v>30</v>
      </c>
      <c r="F4" s="28" t="s">
        <v>31</v>
      </c>
      <c r="G4" s="28" t="s">
        <v>175</v>
      </c>
      <c r="H4" s="28" t="s">
        <v>176</v>
      </c>
      <c r="I4" s="28" t="s">
        <v>43</v>
      </c>
    </row>
    <row r="5" spans="2:9" ht="21.75" customHeight="1">
      <c r="B5" s="13">
        <v>1</v>
      </c>
      <c r="C5" s="12" t="s">
        <v>45</v>
      </c>
      <c r="D5" s="13" t="s">
        <v>12</v>
      </c>
      <c r="E5" s="13" t="s">
        <v>68</v>
      </c>
      <c r="F5" s="13" t="s">
        <v>177</v>
      </c>
      <c r="G5" s="13" t="s">
        <v>178</v>
      </c>
      <c r="H5" s="13" t="s">
        <v>7</v>
      </c>
      <c r="I5" s="13" t="s">
        <v>179</v>
      </c>
    </row>
    <row r="6" spans="2:9" ht="21.75" customHeight="1">
      <c r="B6" s="3">
        <v>2</v>
      </c>
      <c r="C6" s="2" t="s">
        <v>50</v>
      </c>
      <c r="D6" s="3" t="s">
        <v>12</v>
      </c>
      <c r="E6" s="3" t="s">
        <v>57</v>
      </c>
      <c r="F6" s="3" t="s">
        <v>177</v>
      </c>
      <c r="G6" s="3" t="s">
        <v>178</v>
      </c>
      <c r="H6" s="3" t="s">
        <v>7</v>
      </c>
      <c r="I6" s="3" t="s">
        <v>179</v>
      </c>
    </row>
    <row r="7" spans="2:9" ht="21.75" customHeight="1">
      <c r="B7" s="13">
        <v>3</v>
      </c>
      <c r="C7" s="12" t="s">
        <v>89</v>
      </c>
      <c r="D7" s="13" t="s">
        <v>14</v>
      </c>
      <c r="E7" s="13" t="s">
        <v>57</v>
      </c>
      <c r="F7" s="13" t="s">
        <v>177</v>
      </c>
      <c r="G7" s="13" t="s">
        <v>178</v>
      </c>
      <c r="H7" s="13" t="s">
        <v>7</v>
      </c>
      <c r="I7" s="13" t="s">
        <v>179</v>
      </c>
    </row>
    <row r="8" spans="2:9" ht="21.75" customHeight="1">
      <c r="B8" s="3">
        <v>4</v>
      </c>
      <c r="C8" s="2" t="s">
        <v>90</v>
      </c>
      <c r="D8" s="3" t="s">
        <v>14</v>
      </c>
      <c r="E8" s="3" t="s">
        <v>57</v>
      </c>
      <c r="F8" s="3" t="s">
        <v>177</v>
      </c>
      <c r="G8" s="3" t="s">
        <v>178</v>
      </c>
      <c r="H8" s="3" t="s">
        <v>7</v>
      </c>
      <c r="I8" s="3" t="s">
        <v>179</v>
      </c>
    </row>
    <row r="9" spans="2:9" ht="21.75" customHeight="1">
      <c r="B9" s="13">
        <v>5</v>
      </c>
      <c r="C9" s="12" t="s">
        <v>121</v>
      </c>
      <c r="D9" s="13" t="s">
        <v>16</v>
      </c>
      <c r="E9" s="13" t="s">
        <v>57</v>
      </c>
      <c r="F9" s="13" t="s">
        <v>177</v>
      </c>
      <c r="G9" s="13" t="s">
        <v>178</v>
      </c>
      <c r="H9" s="13" t="s">
        <v>7</v>
      </c>
      <c r="I9" s="13" t="s">
        <v>179</v>
      </c>
    </row>
    <row r="10" spans="2:9" ht="21.75" customHeight="1">
      <c r="B10" s="3">
        <v>6</v>
      </c>
      <c r="C10" s="2" t="s">
        <v>122</v>
      </c>
      <c r="D10" s="3" t="s">
        <v>16</v>
      </c>
      <c r="E10" s="3" t="s">
        <v>68</v>
      </c>
      <c r="F10" s="3" t="s">
        <v>177</v>
      </c>
      <c r="G10" s="3" t="s">
        <v>178</v>
      </c>
      <c r="H10" s="3" t="s">
        <v>7</v>
      </c>
      <c r="I10" s="3" t="s">
        <v>179</v>
      </c>
    </row>
    <row r="11" spans="2:9" ht="21.75" customHeight="1">
      <c r="B11" s="13">
        <v>7</v>
      </c>
      <c r="C11" s="12" t="s">
        <v>150</v>
      </c>
      <c r="D11" s="13" t="s">
        <v>18</v>
      </c>
      <c r="E11" s="13" t="s">
        <v>57</v>
      </c>
      <c r="F11" s="13" t="s">
        <v>177</v>
      </c>
      <c r="G11" s="13" t="s">
        <v>178</v>
      </c>
      <c r="H11" s="13" t="s">
        <v>7</v>
      </c>
      <c r="I11" s="13" t="s">
        <v>179</v>
      </c>
    </row>
    <row r="12" spans="2:9" ht="21.75" customHeight="1">
      <c r="B12" s="3">
        <v>8</v>
      </c>
      <c r="C12" s="2" t="s">
        <v>151</v>
      </c>
      <c r="D12" s="3" t="s">
        <v>18</v>
      </c>
      <c r="E12" s="3" t="s">
        <v>68</v>
      </c>
      <c r="F12" s="3" t="s">
        <v>177</v>
      </c>
      <c r="G12" s="3" t="s">
        <v>178</v>
      </c>
      <c r="H12" s="3" t="s">
        <v>7</v>
      </c>
      <c r="I12" s="3" t="s">
        <v>179</v>
      </c>
    </row>
    <row r="14" spans="2:9" ht="30" customHeight="1">
      <c r="B14" s="52" t="s">
        <v>180</v>
      </c>
      <c r="C14" s="52"/>
      <c r="D14" s="52"/>
      <c r="E14" s="52"/>
      <c r="F14" s="52"/>
      <c r="G14" s="52"/>
      <c r="H14" s="52"/>
    </row>
  </sheetData>
  <mergeCells count="2">
    <mergeCell ref="B2:H2"/>
    <mergeCell ref="B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84C"/>
  </sheetPr>
  <dimension ref="B1:D21"/>
  <sheetViews>
    <sheetView showGridLines="0" topLeftCell="A8" zoomScaleNormal="100" workbookViewId="0">
      <selection activeCell="C21" sqref="C21:D21"/>
    </sheetView>
  </sheetViews>
  <sheetFormatPr defaultColWidth="8.7109375" defaultRowHeight="14.45"/>
  <cols>
    <col min="1" max="1" width="4" customWidth="1"/>
    <col min="2" max="2" width="22" customWidth="1"/>
    <col min="3" max="3" width="55" customWidth="1"/>
    <col min="4" max="4" width="22" customWidth="1"/>
  </cols>
  <sheetData>
    <row r="1" spans="2:4" ht="7.5" customHeight="1"/>
    <row r="2" spans="2:4" ht="42" customHeight="1">
      <c r="B2" s="53" t="s">
        <v>181</v>
      </c>
      <c r="C2" s="53"/>
      <c r="D2" s="53"/>
    </row>
    <row r="4" spans="2:4" ht="27.75" customHeight="1">
      <c r="B4" s="17" t="s">
        <v>182</v>
      </c>
      <c r="C4" s="29" t="s">
        <v>183</v>
      </c>
      <c r="D4" s="17" t="s">
        <v>184</v>
      </c>
    </row>
    <row r="5" spans="2:4" ht="52.15" customHeight="1">
      <c r="B5" s="30" t="s">
        <v>4</v>
      </c>
      <c r="C5" s="31" t="s">
        <v>185</v>
      </c>
      <c r="D5" s="30" t="s">
        <v>186</v>
      </c>
    </row>
    <row r="6" spans="2:4" ht="50.45" customHeight="1">
      <c r="B6" s="32" t="s">
        <v>5</v>
      </c>
      <c r="C6" s="33" t="s">
        <v>187</v>
      </c>
      <c r="D6" s="32" t="s">
        <v>188</v>
      </c>
    </row>
    <row r="7" spans="2:4" ht="56.45" customHeight="1">
      <c r="B7" s="34" t="s">
        <v>6</v>
      </c>
      <c r="C7" s="35" t="s">
        <v>189</v>
      </c>
      <c r="D7" s="34" t="s">
        <v>190</v>
      </c>
    </row>
    <row r="8" spans="2:4" ht="55.9" customHeight="1">
      <c r="B8" s="28" t="s">
        <v>7</v>
      </c>
      <c r="C8" s="36" t="s">
        <v>191</v>
      </c>
      <c r="D8" s="28" t="s">
        <v>192</v>
      </c>
    </row>
    <row r="10" spans="2:4" ht="13.5" customHeight="1"/>
    <row r="11" spans="2:4" ht="15" customHeight="1">
      <c r="B11" s="54" t="s">
        <v>193</v>
      </c>
      <c r="C11" s="54"/>
      <c r="D11" s="54"/>
    </row>
    <row r="12" spans="2:4" ht="21.75" customHeight="1">
      <c r="B12" s="2" t="s">
        <v>33</v>
      </c>
      <c r="C12" s="55" t="s">
        <v>194</v>
      </c>
      <c r="D12" s="55"/>
    </row>
    <row r="13" spans="2:4" ht="21.75" customHeight="1">
      <c r="B13" s="12" t="s">
        <v>34</v>
      </c>
      <c r="C13" s="56" t="s">
        <v>195</v>
      </c>
      <c r="D13" s="56"/>
    </row>
    <row r="14" spans="2:4" ht="21.75" customHeight="1">
      <c r="B14" s="2" t="s">
        <v>13</v>
      </c>
      <c r="C14" s="55" t="s">
        <v>196</v>
      </c>
      <c r="D14" s="55"/>
    </row>
    <row r="15" spans="2:4" ht="40.9" customHeight="1">
      <c r="B15" s="12" t="s">
        <v>15</v>
      </c>
      <c r="C15" s="56" t="s">
        <v>197</v>
      </c>
      <c r="D15" s="56"/>
    </row>
    <row r="16" spans="2:4" ht="21.75" customHeight="1">
      <c r="B16" s="2" t="s">
        <v>35</v>
      </c>
      <c r="C16" s="55" t="s">
        <v>198</v>
      </c>
      <c r="D16" s="55"/>
    </row>
    <row r="17" spans="2:4" ht="31.15" customHeight="1">
      <c r="B17" s="12" t="s">
        <v>36</v>
      </c>
      <c r="C17" s="56" t="s">
        <v>199</v>
      </c>
      <c r="D17" s="56"/>
    </row>
    <row r="18" spans="2:4" ht="21.75" customHeight="1">
      <c r="B18" s="2" t="s">
        <v>17</v>
      </c>
      <c r="C18" s="55" t="s">
        <v>200</v>
      </c>
      <c r="D18" s="55"/>
    </row>
    <row r="19" spans="2:4" ht="21.75" customHeight="1">
      <c r="B19" s="12" t="s">
        <v>38</v>
      </c>
      <c r="C19" s="56" t="s">
        <v>201</v>
      </c>
      <c r="D19" s="56"/>
    </row>
    <row r="20" spans="2:4" ht="27" customHeight="1">
      <c r="B20" s="2" t="s">
        <v>19</v>
      </c>
      <c r="C20" s="55" t="s">
        <v>202</v>
      </c>
      <c r="D20" s="55"/>
    </row>
    <row r="21" spans="2:4" ht="31.15" customHeight="1">
      <c r="B21" s="12" t="s">
        <v>39</v>
      </c>
      <c r="C21" s="56" t="s">
        <v>203</v>
      </c>
      <c r="D21" s="56"/>
    </row>
  </sheetData>
  <mergeCells count="12">
    <mergeCell ref="C20:D20"/>
    <mergeCell ref="C21:D21"/>
    <mergeCell ref="C15:D15"/>
    <mergeCell ref="C16:D16"/>
    <mergeCell ref="C17:D17"/>
    <mergeCell ref="C18:D18"/>
    <mergeCell ref="C19:D19"/>
    <mergeCell ref="B2:D2"/>
    <mergeCell ref="B11:D11"/>
    <mergeCell ref="C12:D12"/>
    <mergeCell ref="C13:D13"/>
    <mergeCell ref="C14:D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Ice Almazan (She, Her)</cp:lastModifiedBy>
  <cp:revision>0</cp:revision>
  <dcterms:created xsi:type="dcterms:W3CDTF">2026-04-15T12:34:29Z</dcterms:created>
  <dcterms:modified xsi:type="dcterms:W3CDTF">2026-04-20T17:50:58Z</dcterms:modified>
  <cp:category/>
  <cp:contentStatus/>
</cp:coreProperties>
</file>