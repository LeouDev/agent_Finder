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Team Leou" sheetId="2" state="visible" r:id="rId4"/>
    <sheet name="⚫ Confirmed Attrition" sheetId="3" state="visible" r:id="rId5"/>
    <sheet name="📋 Legend &amp; Guide" sheetId="4" state="visible" r:id="rId6"/>
    <sheet name="Abigael Singcol Manalaysay" sheetId="5" state="visible" r:id="rId7"/>
    <sheet name="Aida Marie Rodriguez" sheetId="6" state="visible" r:id="rId8"/>
    <sheet name="Ailene Logronio Laure" sheetId="7" state="visible" r:id="rId9"/>
    <sheet name="Alanie Sanchez Lapuz" sheetId="8" state="visible" r:id="rId10"/>
    <sheet name="Alyana Marie Jose Dela Cruz" sheetId="9" state="visible" r:id="rId11"/>
    <sheet name="Archiene Ross Calderon Herbias" sheetId="10" state="visible" r:id="rId12"/>
    <sheet name="Beulah Grace Arroyo Dacanay" sheetId="11" state="visible" r:id="rId13"/>
    <sheet name="Carlo Angelo Lim Regalado" sheetId="12" state="visible" r:id="rId14"/>
    <sheet name="Cathreen Aizha Ria Almazan" sheetId="13" state="visible" r:id="rId15"/>
    <sheet name="Charlie Jr De Asis Cuartero" sheetId="14" state="visible" r:id="rId16"/>
    <sheet name="Charmaine Garde Calupig" sheetId="15" state="visible" r:id="rId17"/>
    <sheet name="Chrisel Lingat Martinez" sheetId="16" state="visible" r:id="rId18"/>
    <sheet name="Cres Marvin Alexander Alvaro" sheetId="17" state="visible" r:id="rId19"/>
    <sheet name="Danica Villano Furiscal" sheetId="18" state="visible" r:id="rId20"/>
    <sheet name="Desiree Granpil Rudio" sheetId="19" state="visible" r:id="rId21"/>
    <sheet name="Donabel Sabado Corrales" sheetId="20" state="visible" r:id="rId22"/>
    <sheet name="Efren Jr Caitor Variacion" sheetId="21" state="visible" r:id="rId23"/>
    <sheet name="Frederic Matthew Carlos Tuting" sheetId="22" state="visible" r:id="rId24"/>
    <sheet name="Gay Olid Lobrin" sheetId="23" state="visible" r:id="rId25"/>
    <sheet name="Hector Ramiro Laboy- Lebron" sheetId="24" state="visible" r:id="rId26"/>
    <sheet name="Janice Carbonilla Rudila" sheetId="25" state="visible" r:id="rId27"/>
    <sheet name="Jean Paul Raymundo Larracas" sheetId="26" state="visible" r:id="rId28"/>
    <sheet name="Jennie Ann Mondido Abrasado" sheetId="27" state="visible" r:id="rId29"/>
    <sheet name="Jennifer N BurgoS-Rivera" sheetId="28" state="visible" r:id="rId30"/>
    <sheet name="Jeric Amazona Mansibang" sheetId="29" state="visible" r:id="rId31"/>
    <sheet name="John Earl Melitado Lagare" sheetId="30" state="visible" r:id="rId32"/>
    <sheet name="Johnny Rey Diaz Bonocan" sheetId="31" state="visible" r:id="rId33"/>
    <sheet name="Joseph Andrew Cera Ballesteros" sheetId="32" state="visible" r:id="rId34"/>
    <sheet name="Kathrina Mae Suycano Silangan" sheetId="33" state="visible" r:id="rId35"/>
    <sheet name="Khyno Elimanco Cortez" sheetId="34" state="visible" r:id="rId36"/>
    <sheet name="Kristel Angelica Valerio" sheetId="35" state="visible" r:id="rId37"/>
    <sheet name="Lea Ibag Fernandez" sheetId="36" state="visible" r:id="rId38"/>
    <sheet name="Leah Bernadette Lavalle Bringas" sheetId="37" state="visible" r:id="rId39"/>
    <sheet name="Lee Stephen Valde Fat" sheetId="38" state="visible" r:id="rId40"/>
    <sheet name="Leou Alven Narito Comendador" sheetId="39" state="visible" r:id="rId41"/>
    <sheet name="Lovely Mae Enot Sacurom" sheetId="40" state="visible" r:id="rId42"/>
    <sheet name="Luis Joel Traverso Rodriguez" sheetId="41" state="visible" r:id="rId43"/>
    <sheet name="Ma Alleah De Torres Santos" sheetId="42" state="visible" r:id="rId44"/>
    <sheet name="Maria Theresa Oliva Valenciano" sheetId="43" state="visible" r:id="rId45"/>
    <sheet name="Mistica Dela Cruz" sheetId="44" state="visible" r:id="rId46"/>
    <sheet name="Osmari Rodriguez" sheetId="45" state="visible" r:id="rId47"/>
    <sheet name="Paolo Cabantog Dacanay" sheetId="46" state="visible" r:id="rId48"/>
    <sheet name="Rinagine Landiza Paurillo" sheetId="47" state="visible" r:id="rId49"/>
    <sheet name="Robert Castillo Santos" sheetId="48" state="visible" r:id="rId50"/>
    <sheet name="Rosauro Gabo Misayah" sheetId="49" state="visible" r:id="rId51"/>
    <sheet name="Sheena Estorba Lucresia" sheetId="50" state="visible" r:id="rId52"/>
    <sheet name="Victor Jr Cabriles Fuentenegra" sheetId="51" state="visible" r:id="rId5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<sst xmlns="http://schemas.openxmlformats.org/spreadsheetml/2006/main" count="11335" uniqueCount="1548">
  <si>
    <t xml:space="preserve">📊  EARLY WARNING SIGNS — OPERATIONS DASHBOARD</t>
  </si>
  <si>
    <t xml:space="preserve">TEAM-LEVEL RISK SUMMARY</t>
  </si>
  <si>
    <t xml:space="preserve">Team</t>
  </si>
  <si>
    <t xml:space="preserve">Total
Headcount</t>
  </si>
  <si>
    <t xml:space="preserve">🟢 GREEN</t>
  </si>
  <si>
    <t xml:space="preserve">🟡 YELLOW</t>
  </si>
  <si>
    <t xml:space="preserve">🔴 RED</t>
  </si>
  <si>
    <t xml:space="preserve">⚫ BLACK</t>
  </si>
  <si>
    <t xml:space="preserve">% At Risk
(RED+BLACK)</t>
  </si>
  <si>
    <t xml:space="preserve">Avg Risk Score</t>
  </si>
  <si>
    <t xml:space="preserve">Top Indicator</t>
  </si>
  <si>
    <t xml:space="preserve">Action Priority</t>
  </si>
  <si>
    <t xml:space="preserve">Abigael Singcol Manalaysay</t>
  </si>
  <si>
    <t xml:space="preserve">Aida Marie Rodriguez</t>
  </si>
  <si>
    <t xml:space="preserve">Ailene Logronio Laure</t>
  </si>
  <si>
    <t xml:space="preserve">Alanie Sanchez Lapuz</t>
  </si>
  <si>
    <t xml:space="preserve">Alyana Marie Jose Dela Cruz</t>
  </si>
  <si>
    <t xml:space="preserve">Archiene Ross Calderon Herbias</t>
  </si>
  <si>
    <t xml:space="preserve">Beulah Grace Arroyo Dacanay</t>
  </si>
  <si>
    <t xml:space="preserve">Carlo Angelo Lim Regalado</t>
  </si>
  <si>
    <t xml:space="preserve">Cathreen Aizha Ria Almazan</t>
  </si>
  <si>
    <t xml:space="preserve">Charlie Jr De Asis Cuartero</t>
  </si>
  <si>
    <t xml:space="preserve">Charmaine Garde Calupig</t>
  </si>
  <si>
    <t xml:space="preserve">Chrisel Lingat Martinez</t>
  </si>
  <si>
    <t xml:space="preserve">Cres Marvin Alexander Alvaro</t>
  </si>
  <si>
    <t xml:space="preserve">Danica Villano Furiscal</t>
  </si>
  <si>
    <t xml:space="preserve">Desiree Granpil Rudio</t>
  </si>
  <si>
    <t xml:space="preserve">Donabel Sabado Corrales</t>
  </si>
  <si>
    <t xml:space="preserve">Efren Jr Caitor Variacion</t>
  </si>
  <si>
    <t xml:space="preserve">Frederic Matthew Carlos Tuting</t>
  </si>
  <si>
    <t xml:space="preserve">Gay Olid Lobrin</t>
  </si>
  <si>
    <t xml:space="preserve">Hector Ramiro Laboy- Lebron</t>
  </si>
  <si>
    <t xml:space="preserve">Janice Carbonilla Rudila</t>
  </si>
  <si>
    <t xml:space="preserve">Jean Paul Raymundo Larracas</t>
  </si>
  <si>
    <t xml:space="preserve">Jennie Ann Mondido Abrasado</t>
  </si>
  <si>
    <t xml:space="preserve">Jennifer N BurgoS-Rivera</t>
  </si>
  <si>
    <t xml:space="preserve">Jeric Amazona Mansibang</t>
  </si>
  <si>
    <t xml:space="preserve">John Earl Melitado Lagare</t>
  </si>
  <si>
    <t xml:space="preserve">Johnny Rey Diaz Bonocan</t>
  </si>
  <si>
    <t xml:space="preserve">Joseph Andrew Cera Ballesteros</t>
  </si>
  <si>
    <t xml:space="preserve">Kathrina Mae Suycano Silangan</t>
  </si>
  <si>
    <t xml:space="preserve">Khyno Elimanco Cortez</t>
  </si>
  <si>
    <t xml:space="preserve">Kristel Angelica Valerio</t>
  </si>
  <si>
    <t xml:space="preserve">Lea Ibag Fernandez</t>
  </si>
  <si>
    <t xml:space="preserve">Leah Bernadette Lavalle Bringas</t>
  </si>
  <si>
    <t xml:space="preserve">Lee Stephen Valde Fat</t>
  </si>
  <si>
    <t xml:space="preserve">Leou Alven Narito Comendador</t>
  </si>
  <si>
    <t xml:space="preserve">Lovely Mae Enot Sacurom</t>
  </si>
  <si>
    <t xml:space="preserve">Luis Joel Traverso Rodriguez</t>
  </si>
  <si>
    <t xml:space="preserve">Ma Alleah De Torres Santos</t>
  </si>
  <si>
    <t xml:space="preserve">Maria Theresa Oliva Valenciano Ramos</t>
  </si>
  <si>
    <t xml:space="preserve">Mistica Dela Cruz</t>
  </si>
  <si>
    <t xml:space="preserve">Osmari Rodriguez</t>
  </si>
  <si>
    <t xml:space="preserve">Paolo Cabantog Dacanay</t>
  </si>
  <si>
    <t xml:space="preserve">Rinagine Landiza Paurillo</t>
  </si>
  <si>
    <t xml:space="preserve">Robert Castillo Santos</t>
  </si>
  <si>
    <t xml:space="preserve">Rosauro Gabo Misayah</t>
  </si>
  <si>
    <t xml:space="preserve">Sheena Estorba Lucresia</t>
  </si>
  <si>
    <t xml:space="preserve">Victor Jr Cabriles Fuentenegra</t>
  </si>
  <si>
    <t xml:space="preserve">TOTAL / AVERAGE</t>
  </si>
  <si>
    <t xml:space="preserve">TOTAL HEADCOUNT</t>
  </si>
  <si>
    <t xml:space="preserve">🟢 STABLE</t>
  </si>
  <si>
    <t xml:space="preserve">🟡 MONITORING</t>
  </si>
  <si>
    <t xml:space="preserve">🔴 HIGH RISK</t>
  </si>
  <si>
    <t xml:space="preserve">⚫ CONFIRMED ATTRITION</t>
  </si>
  <si>
    <t xml:space="preserve">💡  NAVIGATION: Use the sheet tabs below to switch between teams. Update Risk Status in each team tab — this Dashboard updates automatically via formulas. Employees marked ⚫ BLACK should be copied to the '⚫ Confirmed Attrition' sheet.</t>
  </si>
  <si>
    <t xml:space="preserve">📊  HEADCOUNT MOVEMENT TRACKER  —  OGA OPERATIONS</t>
  </si>
  <si>
    <t xml:space="preserve">Overall</t>
  </si>
  <si>
    <t xml:space="preserve">Jan'26</t>
  </si>
  <si>
    <t xml:space="preserve">Feb'26</t>
  </si>
  <si>
    <t xml:space="preserve">Mar'26</t>
  </si>
  <si>
    <t xml:space="preserve">Apr'26</t>
  </si>
  <si>
    <t xml:space="preserve">May'26</t>
  </si>
  <si>
    <t xml:space="preserve">Jun'26</t>
  </si>
  <si>
    <t xml:space="preserve">Jul'26</t>
  </si>
  <si>
    <t xml:space="preserve">Aug'26</t>
  </si>
  <si>
    <t xml:space="preserve">Sep'26</t>
  </si>
  <si>
    <t xml:space="preserve">Oct'26</t>
  </si>
  <si>
    <t xml:space="preserve">Nov'26</t>
  </si>
  <si>
    <t xml:space="preserve">Dec'26</t>
  </si>
  <si>
    <t xml:space="preserve">Opening HC</t>
  </si>
  <si>
    <t xml:space="preserve">New Hires</t>
  </si>
  <si>
    <t xml:space="preserve">Transfer In</t>
  </si>
  <si>
    <t xml:space="preserve">Transfer Out</t>
  </si>
  <si>
    <t xml:space="preserve">Actual Attrition</t>
  </si>
  <si>
    <t xml:space="preserve">    Voluntary Attrition</t>
  </si>
  <si>
    <t xml:space="preserve">    Involuntary Attrition</t>
  </si>
  <si>
    <t xml:space="preserve">    Projected Attrition</t>
  </si>
  <si>
    <t xml:space="preserve">Closing HC</t>
  </si>
  <si>
    <t xml:space="preserve">📊  HEADCOUNT MOVEMENT TRACKER  —  ABIGAEL SINGCOL MANALAYSAY</t>
  </si>
  <si>
    <t xml:space="preserve">📊  HEADCOUNT MOVEMENT TRACKER  —  AIDA MARIE RODRIGUEZ</t>
  </si>
  <si>
    <t xml:space="preserve">📊  HEADCOUNT MOVEMENT TRACKER  —  AILENE LOGRONIO LAURE</t>
  </si>
  <si>
    <t xml:space="preserve">📊  HEADCOUNT MOVEMENT TRACKER  —  ALANIE SANCHEZ LAPUZ</t>
  </si>
  <si>
    <t xml:space="preserve">📊  HEADCOUNT MOVEMENT TRACKER  —  ALYANA MARIE JOSE DELA CRUZ</t>
  </si>
  <si>
    <t xml:space="preserve">📊  HEADCOUNT MOVEMENT TRACKER  —  ARCHIENE ROSS CALDERON HERBIAS</t>
  </si>
  <si>
    <t xml:space="preserve">📊  HEADCOUNT MOVEMENT TRACKER  —  BEULAH GRACE ARROYO DACANAY</t>
  </si>
  <si>
    <t xml:space="preserve">📊  HEADCOUNT MOVEMENT TRACKER  —  CARLO ANGELO LIM REGALADO</t>
  </si>
  <si>
    <t xml:space="preserve">📊  HEADCOUNT MOVEMENT TRACKER  —  CATHREEN AIZHA RIA ALMAZAN</t>
  </si>
  <si>
    <t xml:space="preserve">📊  HEADCOUNT MOVEMENT TRACKER  —  CHARLIE JR DE ASIS CUARTERO</t>
  </si>
  <si>
    <t xml:space="preserve">📊  HEADCOUNT MOVEMENT TRACKER  —  CHARMAINE GARDE CALUPIG</t>
  </si>
  <si>
    <t xml:space="preserve">📊  HEADCOUNT MOVEMENT TRACKER  —  CHRISEL LINGAT MARTINEZ</t>
  </si>
  <si>
    <t xml:space="preserve">📊  HEADCOUNT MOVEMENT TRACKER  —  CRES MARVIN ALEXANDER ALVARO</t>
  </si>
  <si>
    <t xml:space="preserve">📊  HEADCOUNT MOVEMENT TRACKER  —  DANICA VILLANO FURISCAL</t>
  </si>
  <si>
    <t xml:space="preserve">📊  HEADCOUNT MOVEMENT TRACKER  —  DESIREE GRANPIL RUDIO</t>
  </si>
  <si>
    <t xml:space="preserve">📊  HEADCOUNT MOVEMENT TRACKER  —  DONABEL SABADO CORRALES</t>
  </si>
  <si>
    <t xml:space="preserve">📊  HEADCOUNT MOVEMENT TRACKER  —  EFREN JR CAITOR VARIACION</t>
  </si>
  <si>
    <t xml:space="preserve">📊  HEADCOUNT MOVEMENT TRACKER  —  FREDERIC MATTHEW CARLOS TUTING</t>
  </si>
  <si>
    <t xml:space="preserve">📊  HEADCOUNT MOVEMENT TRACKER  —  GAY OLID LOBRIN</t>
  </si>
  <si>
    <t xml:space="preserve">📊  HEADCOUNT MOVEMENT TRACKER  —  HECTOR RAMIRO LABOY- LEBRON</t>
  </si>
  <si>
    <t xml:space="preserve">📊  HEADCOUNT MOVEMENT TRACKER  —  JANICE CARBONILLA RUDILA</t>
  </si>
  <si>
    <t xml:space="preserve">📊  HEADCOUNT MOVEMENT TRACKER  —  JEAN PAUL RAYMUNDO LARRACAS</t>
  </si>
  <si>
    <t xml:space="preserve">📊  HEADCOUNT MOVEMENT TRACKER  —  JENNIE ANN MONDIDO ABRASADO</t>
  </si>
  <si>
    <t xml:space="preserve">📊  HEADCOUNT MOVEMENT TRACKER  —  JENNIFER N BURGOS-RIVERA</t>
  </si>
  <si>
    <t xml:space="preserve">📊  HEADCOUNT MOVEMENT TRACKER  —  JERIC AMAZONA MANSIBANG</t>
  </si>
  <si>
    <t xml:space="preserve">📊  HEADCOUNT MOVEMENT TRACKER  —  JOHN EARL MELITADO LAGARE</t>
  </si>
  <si>
    <t xml:space="preserve">📊  HEADCOUNT MOVEMENT TRACKER  —  JOHNNY REY DIAZ BONOCAN</t>
  </si>
  <si>
    <t xml:space="preserve">📊  HEADCOUNT MOVEMENT TRACKER  —  JOSEPH ANDREW CERA BALLESTEROS</t>
  </si>
  <si>
    <t xml:space="preserve">📊  HEADCOUNT MOVEMENT TRACKER  —  KATHRINA MAE SUYCANO SILANGAN</t>
  </si>
  <si>
    <t xml:space="preserve">📊  HEADCOUNT MOVEMENT TRACKER  —  KHYNO ELIMANCO CORTEZ</t>
  </si>
  <si>
    <t xml:space="preserve">📊  HEADCOUNT MOVEMENT TRACKER  —  KRISTEL ANGELICA VALERIO</t>
  </si>
  <si>
    <t xml:space="preserve">📊  HEADCOUNT MOVEMENT TRACKER  —  LEA IBAG FERNANDEZ</t>
  </si>
  <si>
    <t xml:space="preserve">📊  HEADCOUNT MOVEMENT TRACKER  —  LEAH BERNADETTE LAVALLE BRINGAS</t>
  </si>
  <si>
    <t xml:space="preserve">📊  HEADCOUNT MOVEMENT TRACKER  —  LEE STEPHEN VALDE FAT</t>
  </si>
  <si>
    <t xml:space="preserve">📊  HEADCOUNT MOVEMENT TRACKER  —  LEOU ALVEN NARITO COMENDADOR</t>
  </si>
  <si>
    <t xml:space="preserve">📊  HEADCOUNT MOVEMENT TRACKER  —  LOVELY MAE ENOT SACUROM</t>
  </si>
  <si>
    <t xml:space="preserve">📊  HEADCOUNT MOVEMENT TRACKER  —  LUIS JOEL TRAVERSO RODRIGUEZ</t>
  </si>
  <si>
    <t xml:space="preserve">📊  HEADCOUNT MOVEMENT TRACKER  —  MA ALLEAH DE TORRES SANTOS</t>
  </si>
  <si>
    <t xml:space="preserve">📊  HEADCOUNT MOVEMENT TRACKER  —  MARIA THERESA OLIVA VALENCIANO RAMOS</t>
  </si>
  <si>
    <t xml:space="preserve">📊  HEADCOUNT MOVEMENT TRACKER  —  MISTICA DELA CRUZ</t>
  </si>
  <si>
    <t xml:space="preserve">📊  HEADCOUNT MOVEMENT TRACKER  —  OSMARI RODRIGUEZ</t>
  </si>
  <si>
    <t xml:space="preserve">📊  HEADCOUNT MOVEMENT TRACKER  —  PAOLO CABANTOG DACANAY</t>
  </si>
  <si>
    <t xml:space="preserve">📊  HEADCOUNT MOVEMENT TRACKER  —  RINAGINE LANDIZA PAURILLO</t>
  </si>
  <si>
    <t xml:space="preserve">📊  HEADCOUNT MOVEMENT TRACKER  —  ROBERT CASTILLO SANTOS</t>
  </si>
  <si>
    <t xml:space="preserve">📊  HEADCOUNT MOVEMENT TRACKER  —  ROSAURO GABO MISAYAH</t>
  </si>
  <si>
    <t xml:space="preserve">📊  HEADCOUNT MOVEMENT TRACKER  —  SHEENA ESTORBA LUCRESIA</t>
  </si>
  <si>
    <t xml:space="preserve">📊  HEADCOUNT MOVEMENT TRACKER  —  VICTOR JR CABRILES FUENTENEGRA</t>
  </si>
  <si>
    <t xml:space="preserve">🔍  EARLY WARNING SIGNS TRACKER  —  TEAM LEOU</t>
  </si>
  <si>
    <t xml:space="preserve">#</t>
  </si>
  <si>
    <t xml:space="preserve">Employee Name</t>
  </si>
  <si>
    <t xml:space="preserve">Position</t>
  </si>
  <si>
    <t xml:space="preserve">Date Hired</t>
  </si>
  <si>
    <t xml:space="preserve">Risk Status</t>
  </si>
  <si>
    <t xml:space="preserve">Frequent Tardiness</t>
  </si>
  <si>
    <t xml:space="preserve">Increased Absences</t>
  </si>
  <si>
    <t xml:space="preserve">Low Productivity</t>
  </si>
  <si>
    <t xml:space="preserve">Disengagement in Team Huddles</t>
  </si>
  <si>
    <t xml:space="preserve">Job Hunting Signals</t>
  </si>
  <si>
    <t xml:space="preserve">Conflicts with Teammates</t>
  </si>
  <si>
    <t xml:space="preserve">Decline in QA/NPS Scores</t>
  </si>
  <si>
    <t xml:space="preserve">Reduced Initiative</t>
  </si>
  <si>
    <t xml:space="preserve">Requesting LOA/Personal Leaves</t>
  </si>
  <si>
    <t xml:space="preserve">Withdrawal from Social Activities</t>
  </si>
  <si>
    <t xml:space="preserve">With Active CAP?</t>
  </si>
  <si>
    <t xml:space="preserve">Risk Score</t>
  </si>
  <si>
    <t xml:space="preserve">Rating for the past 3 months</t>
  </si>
  <si>
    <t xml:space="preserve">TL Notes</t>
  </si>
  <si>
    <t xml:space="preserve">Last Updated</t>
  </si>
  <si>
    <t xml:space="preserve">Xena Garcia</t>
  </si>
  <si>
    <t xml:space="preserve">QA Analyst</t>
  </si>
  <si>
    <t xml:space="preserve">03/01/2020</t>
  </si>
  <si>
    <t xml:space="preserve">YES</t>
  </si>
  <si>
    <t xml:space="preserve">NO</t>
  </si>
  <si>
    <t xml:space="preserve">Jose Concepcion</t>
  </si>
  <si>
    <t xml:space="preserve">Subject Matter Expert</t>
  </si>
  <si>
    <t xml:space="preserve">09/01/2022</t>
  </si>
  <si>
    <t xml:space="preserve">Ivy Dela Cruz</t>
  </si>
  <si>
    <t xml:space="preserve">Trainer</t>
  </si>
  <si>
    <t xml:space="preserve">12/01/2019</t>
  </si>
  <si>
    <t xml:space="preserve">Trisha Ramos</t>
  </si>
  <si>
    <t xml:space="preserve">Senior Specialist</t>
  </si>
  <si>
    <t xml:space="preserve">09/01/2023</t>
  </si>
  <si>
    <t xml:space="preserve">Ems Garcia</t>
  </si>
  <si>
    <t xml:space="preserve">02/01/2019</t>
  </si>
  <si>
    <t xml:space="preserve">Alma Concepcion</t>
  </si>
  <si>
    <t xml:space="preserve">09/01/2020</t>
  </si>
  <si>
    <t xml:space="preserve">Ric Cruz</t>
  </si>
  <si>
    <t xml:space="preserve">10/01/2019</t>
  </si>
  <si>
    <t xml:space="preserve">Uma Mendoza</t>
  </si>
  <si>
    <t xml:space="preserve">05/01/2020</t>
  </si>
  <si>
    <t xml:space="preserve">Ana Santos</t>
  </si>
  <si>
    <t xml:space="preserve">PA Specialist</t>
  </si>
  <si>
    <t xml:space="preserve">11/01/2019</t>
  </si>
  <si>
    <t xml:space="preserve">Carlo Flores</t>
  </si>
  <si>
    <t xml:space="preserve">04/01/2020</t>
  </si>
  <si>
    <t xml:space="preserve">Trisha Rivera</t>
  </si>
  <si>
    <t xml:space="preserve">01/01/2023</t>
  </si>
  <si>
    <t xml:space="preserve">Val Santos</t>
  </si>
  <si>
    <t xml:space="preserve">05/01/2022</t>
  </si>
  <si>
    <t xml:space="preserve">Sara Flores</t>
  </si>
  <si>
    <t xml:space="preserve">Team Lead Support</t>
  </si>
  <si>
    <t xml:space="preserve">Ces Gonzales</t>
  </si>
  <si>
    <t xml:space="preserve">Ben Delos Santos</t>
  </si>
  <si>
    <t xml:space="preserve">10/01/2023</t>
  </si>
  <si>
    <t xml:space="preserve">Iris Dela Cruz</t>
  </si>
  <si>
    <t xml:space="preserve">08/01/2019</t>
  </si>
  <si>
    <t xml:space="preserve">Kath Perez</t>
  </si>
  <si>
    <t xml:space="preserve">08/01/2020</t>
  </si>
  <si>
    <t xml:space="preserve">Ivy Ocampo</t>
  </si>
  <si>
    <t xml:space="preserve">03/01/2023</t>
  </si>
  <si>
    <t xml:space="preserve">Maria Peralta</t>
  </si>
  <si>
    <t xml:space="preserve">⚫  CONFIRMED ATTRITION REGISTER  —  All Teams</t>
  </si>
  <si>
    <t xml:space="preserve">Confirmed Date</t>
  </si>
  <si>
    <t xml:space="preserve">Last Risk Status</t>
  </si>
  <si>
    <t xml:space="preserve">Team Leou</t>
  </si>
  <si>
    <t xml:space="preserve">Resignation confirmed.</t>
  </si>
  <si>
    <t xml:space="preserve">Donna Soriano</t>
  </si>
  <si>
    <t xml:space="preserve">Team Alpha</t>
  </si>
  <si>
    <t xml:space="preserve">Jake Bautista</t>
  </si>
  <si>
    <t xml:space="preserve">Gem Aquino</t>
  </si>
  <si>
    <t xml:space="preserve">Team Beta</t>
  </si>
  <si>
    <t xml:space="preserve">Carlo Dizon</t>
  </si>
  <si>
    <t xml:space="preserve">Alma Bautista</t>
  </si>
  <si>
    <t xml:space="preserve">Team Gamma</t>
  </si>
  <si>
    <t xml:space="preserve">Gem Peralta</t>
  </si>
  <si>
    <t xml:space="preserve">📌  HOW TO USE: Go to any Team sheet → change Risk Status to '⚫ BLACK' → manually copy that row here OR use the Macro button on the Dashboard to auto-transfer.</t>
  </si>
  <si>
    <t xml:space="preserve">📋  LEGEND &amp; USER GUIDE</t>
  </si>
  <si>
    <t xml:space="preserve">STATUS</t>
  </si>
  <si>
    <t xml:space="preserve">MEANING</t>
  </si>
  <si>
    <t xml:space="preserve">ACTION REQUIRED</t>
  </si>
  <si>
    <t xml:space="preserve">Employee is engaged and performing well.</t>
  </si>
  <si>
    <t xml:space="preserve">Continue regular check-ins and recognition.</t>
  </si>
  <si>
    <t xml:space="preserve">Mild warning signs present (1–3 indicators).</t>
  </si>
  <si>
    <t xml:space="preserve">Schedule 1-on-1 coaching. Document observations.</t>
  </si>
  <si>
    <t xml:space="preserve">Multiple warning signs (4–7 indicators). High flight risk.</t>
  </si>
  <si>
    <t xml:space="preserve">Immediate retention conversation. Escalate to HR if needed.</t>
  </si>
  <si>
    <t xml:space="preserve">Confirmed resignation or termination.</t>
  </si>
  <si>
    <t xml:space="preserve">Transfer to Confirmed Attrition sheet. Begin transition plan.</t>
  </si>
  <si>
    <t xml:space="preserve">WARNING INDICATORS EXPLAINED</t>
  </si>
  <si>
    <t xml:space="preserve">Arriving late consistently (3+ times/week).</t>
  </si>
  <si>
    <t xml:space="preserve">Unplanned or unexcused absences rising.</t>
  </si>
  <si>
    <t xml:space="preserve">Consistent miss of daily/weekly targets.</t>
  </si>
  <si>
    <t xml:space="preserve">Not participating, camera-off, unresponsive.</t>
  </si>
  <si>
    <t xml:space="preserve">LinkedIn activity, interviews, vague schedule blocks.</t>
  </si>
  <si>
    <t xml:space="preserve">Tension, complaints, or friction with peers.</t>
  </si>
  <si>
    <t xml:space="preserve">Decline in QA Scores</t>
  </si>
  <si>
    <t xml:space="preserve">QA average dropping below 98%.</t>
  </si>
  <si>
    <t xml:space="preserve">No longer taking on extra tasks or projects.</t>
  </si>
  <si>
    <t xml:space="preserve">Increase in leave requests or personal time.</t>
  </si>
  <si>
    <t xml:space="preserve">No longer joining team events or celebrations.</t>
  </si>
  <si>
    <t xml:space="preserve">🔍  EARLY WARNING SIGNS TRACKER  —  ABIGAEL SINGCOL MANALAYSAY</t>
  </si>
  <si>
    <t xml:space="preserve">Employee ID</t>
  </si>
  <si>
    <t xml:space="preserve">Frequent
Tardiness</t>
  </si>
  <si>
    <t xml:space="preserve">Increased
Absences</t>
  </si>
  <si>
    <t xml:space="preserve">Low
Productivity</t>
  </si>
  <si>
    <t xml:space="preserve">Disengagement
in Team Huddles</t>
  </si>
  <si>
    <t xml:space="preserve">Job Hunting
Signals</t>
  </si>
  <si>
    <t xml:space="preserve">Conflicts with
Teammates</t>
  </si>
  <si>
    <t xml:space="preserve">Decline in
QA/NPS Scores</t>
  </si>
  <si>
    <t xml:space="preserve">Reduced
Initiative</t>
  </si>
  <si>
    <t xml:space="preserve">Requesting
LOA/Leaves</t>
  </si>
  <si>
    <t xml:space="preserve">Withdrawal from
Social Activities</t>
  </si>
  <si>
    <t xml:space="preserve">With Active
CAP?</t>
  </si>
  <si>
    <t xml:space="preserve">Risk
Score</t>
  </si>
  <si>
    <t xml:space="preserve">Rating
(Last 3 Mo.)</t>
  </si>
  <si>
    <t xml:space="preserve">Cuaresma,Sherap Don De Guzman</t>
  </si>
  <si>
    <t xml:space="preserve">1370513</t>
  </si>
  <si>
    <t xml:space="preserve">Mustacisa,Jella Mae Pepito</t>
  </si>
  <si>
    <t xml:space="preserve">1616547</t>
  </si>
  <si>
    <t xml:space="preserve">Villaver,Ma Alphecca Win</t>
  </si>
  <si>
    <t xml:space="preserve">1748534</t>
  </si>
  <si>
    <t xml:space="preserve">Delos Santos,Nikki Jane Naraja</t>
  </si>
  <si>
    <t xml:space="preserve">1772477</t>
  </si>
  <si>
    <t xml:space="preserve">San Diego,Charisse Mayo</t>
  </si>
  <si>
    <t xml:space="preserve">2116345</t>
  </si>
  <si>
    <t xml:space="preserve">Belen,Carmella Silva</t>
  </si>
  <si>
    <t xml:space="preserve">2116392</t>
  </si>
  <si>
    <t xml:space="preserve">Santos,Jennilyn Chan</t>
  </si>
  <si>
    <t xml:space="preserve">2122476</t>
  </si>
  <si>
    <t xml:space="preserve">Rondina,Angelica Gabieta</t>
  </si>
  <si>
    <t xml:space="preserve">2133444</t>
  </si>
  <si>
    <t xml:space="preserve">Mengote,Mariven Ocfemia</t>
  </si>
  <si>
    <t xml:space="preserve">2133445</t>
  </si>
  <si>
    <t xml:space="preserve">Napay,Rowena Joice Baguios</t>
  </si>
  <si>
    <t xml:space="preserve">2133455</t>
  </si>
  <si>
    <t xml:space="preserve">Pamplona,Princess Joanna Yamson</t>
  </si>
  <si>
    <t xml:space="preserve">2243267</t>
  </si>
  <si>
    <t xml:space="preserve">Mollasco,Princess Camille Brazil</t>
  </si>
  <si>
    <t xml:space="preserve">2244157</t>
  </si>
  <si>
    <t xml:space="preserve">Templado,Jeanette Tejadillo</t>
  </si>
  <si>
    <t xml:space="preserve">2244659</t>
  </si>
  <si>
    <t xml:space="preserve">Cemanes,Mercy Ann Caylao</t>
  </si>
  <si>
    <t xml:space="preserve">2250954</t>
  </si>
  <si>
    <t xml:space="preserve">Bihag,Floriebel Dellona</t>
  </si>
  <si>
    <t xml:space="preserve">2258526</t>
  </si>
  <si>
    <t xml:space="preserve">Butardo,Darwin Brent</t>
  </si>
  <si>
    <t xml:space="preserve">900108905</t>
  </si>
  <si>
    <t xml:space="preserve">Salamana,Lovely</t>
  </si>
  <si>
    <t xml:space="preserve">900117877</t>
  </si>
  <si>
    <t xml:space="preserve">Macabalang,Najib</t>
  </si>
  <si>
    <t xml:space="preserve">900117882</t>
  </si>
  <si>
    <t xml:space="preserve">Tupas,Redan</t>
  </si>
  <si>
    <t xml:space="preserve">900117895</t>
  </si>
  <si>
    <t xml:space="preserve">Sarga,Grace Cel</t>
  </si>
  <si>
    <t xml:space="preserve">900117904</t>
  </si>
  <si>
    <t xml:space="preserve">Ranido,Gia</t>
  </si>
  <si>
    <t xml:space="preserve">900119768</t>
  </si>
  <si>
    <t xml:space="preserve">Dagoros,Princess Mae</t>
  </si>
  <si>
    <t xml:space="preserve">900119776</t>
  </si>
  <si>
    <t xml:space="preserve">Geraldo,Marianne</t>
  </si>
  <si>
    <t xml:space="preserve">900119808</t>
  </si>
  <si>
    <t xml:space="preserve">Arcega,Anne Nicole</t>
  </si>
  <si>
    <t xml:space="preserve">900121484</t>
  </si>
  <si>
    <t xml:space="preserve">Laory,Ramil John</t>
  </si>
  <si>
    <t xml:space="preserve">900121715</t>
  </si>
  <si>
    <t xml:space="preserve">🔍  EARLY WARNING SIGNS TRACKER  —  AIDA MARIE RODRIGUEZ</t>
  </si>
  <si>
    <t xml:space="preserve">Santiago,Annette Patricia</t>
  </si>
  <si>
    <t xml:space="preserve">1526221</t>
  </si>
  <si>
    <t xml:space="preserve">Andujar,Jenny </t>
  </si>
  <si>
    <t xml:space="preserve">1912820</t>
  </si>
  <si>
    <t xml:space="preserve">Rodriguez,Jeannie Ivette</t>
  </si>
  <si>
    <t xml:space="preserve">2061920</t>
  </si>
  <si>
    <t xml:space="preserve">Agosto Sanchez,Gladys Maria</t>
  </si>
  <si>
    <t xml:space="preserve">2064193</t>
  </si>
  <si>
    <t xml:space="preserve">Rodriguez,Rhona</t>
  </si>
  <si>
    <t xml:space="preserve">2066277</t>
  </si>
  <si>
    <t xml:space="preserve">Miranda Cintron,Luis Daniel</t>
  </si>
  <si>
    <t xml:space="preserve">2088201</t>
  </si>
  <si>
    <t xml:space="preserve">Davila-Soto,Stacey N</t>
  </si>
  <si>
    <t xml:space="preserve">2088210</t>
  </si>
  <si>
    <t xml:space="preserve">Siurano,Natassia Krystal</t>
  </si>
  <si>
    <t xml:space="preserve">2249968</t>
  </si>
  <si>
    <t xml:space="preserve">Ramos-Rodriguez,Cristina Michelle</t>
  </si>
  <si>
    <t xml:space="preserve">2253915</t>
  </si>
  <si>
    <t xml:space="preserve">Feliciano,Evelyn</t>
  </si>
  <si>
    <t xml:space="preserve">2254895</t>
  </si>
  <si>
    <t xml:space="preserve">🔍  EARLY WARNING SIGNS TRACKER  —  AILENE LOGRONIO LAURE</t>
  </si>
  <si>
    <t xml:space="preserve">Borgonia,Cesar Medellin</t>
  </si>
  <si>
    <t xml:space="preserve">2119325</t>
  </si>
  <si>
    <t xml:space="preserve">Abul,Jane Savil Allyssa Yap</t>
  </si>
  <si>
    <t xml:space="preserve">2244051</t>
  </si>
  <si>
    <t xml:space="preserve">Astaca An,Jake Potot</t>
  </si>
  <si>
    <t xml:space="preserve">2244267</t>
  </si>
  <si>
    <t xml:space="preserve">Ala,Jalainy Anthony</t>
  </si>
  <si>
    <t xml:space="preserve">900082442</t>
  </si>
  <si>
    <t xml:space="preserve">Nator,Rene</t>
  </si>
  <si>
    <t xml:space="preserve">900127783</t>
  </si>
  <si>
    <t xml:space="preserve">Anora,Chalpretch Elija</t>
  </si>
  <si>
    <t xml:space="preserve">900127842</t>
  </si>
  <si>
    <t xml:space="preserve">Gumatay,Mary Jeil Twixy</t>
  </si>
  <si>
    <t xml:space="preserve">900127878</t>
  </si>
  <si>
    <t xml:space="preserve">Jumao-As,Christian Dominique</t>
  </si>
  <si>
    <t xml:space="preserve">900127896</t>
  </si>
  <si>
    <t xml:space="preserve">Pamisa,Marjorie</t>
  </si>
  <si>
    <t xml:space="preserve">900128185</t>
  </si>
  <si>
    <t xml:space="preserve">Giducos,Christy Mae</t>
  </si>
  <si>
    <t xml:space="preserve">900128216</t>
  </si>
  <si>
    <t xml:space="preserve">Singson,Chineelyn Mae</t>
  </si>
  <si>
    <t xml:space="preserve">900128566</t>
  </si>
  <si>
    <t xml:space="preserve">Omambac,Redje</t>
  </si>
  <si>
    <t xml:space="preserve">900128667</t>
  </si>
  <si>
    <t xml:space="preserve">Flores,Germaigne</t>
  </si>
  <si>
    <t xml:space="preserve">900129105</t>
  </si>
  <si>
    <t xml:space="preserve">Lintao,Hannah Mae</t>
  </si>
  <si>
    <t xml:space="preserve">900129209</t>
  </si>
  <si>
    <t xml:space="preserve">Berame,Louise Enrique</t>
  </si>
  <si>
    <t xml:space="preserve">900130006</t>
  </si>
  <si>
    <t xml:space="preserve">Mendoza,Andrea Aubrey</t>
  </si>
  <si>
    <t xml:space="preserve">900130091</t>
  </si>
  <si>
    <t xml:space="preserve">Recla,Fatima</t>
  </si>
  <si>
    <t xml:space="preserve">900130634</t>
  </si>
  <si>
    <t xml:space="preserve">Inot,Rebecca</t>
  </si>
  <si>
    <t xml:space="preserve">900130682</t>
  </si>
  <si>
    <t xml:space="preserve">🔍  EARLY WARNING SIGNS TRACKER  —  ALANIE SANCHEZ LAPUZ</t>
  </si>
  <si>
    <t xml:space="preserve">Chaves,Rhea Fariola</t>
  </si>
  <si>
    <t xml:space="preserve">895913</t>
  </si>
  <si>
    <t xml:space="preserve">Dacanay,Paolo Cabantog</t>
  </si>
  <si>
    <t xml:space="preserve">1073247</t>
  </si>
  <si>
    <t xml:space="preserve">Calupig,Charmaine Garde</t>
  </si>
  <si>
    <t xml:space="preserve">1126814</t>
  </si>
  <si>
    <t xml:space="preserve">Ballesteros,Joseph Andrew Cera</t>
  </si>
  <si>
    <t xml:space="preserve">1183689</t>
  </si>
  <si>
    <t xml:space="preserve">Manalaysay,Abigael Singcol</t>
  </si>
  <si>
    <t xml:space="preserve">1398913</t>
  </si>
  <si>
    <t xml:space="preserve">🔍  EARLY WARNING SIGNS TRACKER  —  ALYANA MARIE JOSE DELA CRUZ</t>
  </si>
  <si>
    <t xml:space="preserve">Falsis,Cyrus Hope Banot</t>
  </si>
  <si>
    <t xml:space="preserve">1285305</t>
  </si>
  <si>
    <t xml:space="preserve">Pogado,Maria Christina Abenir</t>
  </si>
  <si>
    <t xml:space="preserve">1743256</t>
  </si>
  <si>
    <t xml:space="preserve">Bolinao,Joseph Nikko Paz</t>
  </si>
  <si>
    <t xml:space="preserve">1922793</t>
  </si>
  <si>
    <t xml:space="preserve">Canares,Bunce Reno</t>
  </si>
  <si>
    <t xml:space="preserve">1938955</t>
  </si>
  <si>
    <t xml:space="preserve">Brioso,Denisse Rosero</t>
  </si>
  <si>
    <t xml:space="preserve">1958905</t>
  </si>
  <si>
    <t xml:space="preserve">Flores,Ezra Marie Padilla</t>
  </si>
  <si>
    <t xml:space="preserve">2109623</t>
  </si>
  <si>
    <t xml:space="preserve">Calma,Princess Pelipada</t>
  </si>
  <si>
    <t xml:space="preserve">2111614</t>
  </si>
  <si>
    <t xml:space="preserve">Ocampo,Erwin Ponciano</t>
  </si>
  <si>
    <t xml:space="preserve">2116291</t>
  </si>
  <si>
    <t xml:space="preserve">Ortiz,Josephine Sinangote</t>
  </si>
  <si>
    <t xml:space="preserve">2148943</t>
  </si>
  <si>
    <t xml:space="preserve">Cañad,Sepora Villaflores</t>
  </si>
  <si>
    <t xml:space="preserve">2236081</t>
  </si>
  <si>
    <t xml:space="preserve">Bato,Arnel Sulatorio</t>
  </si>
  <si>
    <t xml:space="preserve">2258037</t>
  </si>
  <si>
    <t xml:space="preserve">Dabalos,Shella Sipalay</t>
  </si>
  <si>
    <t xml:space="preserve">2258517</t>
  </si>
  <si>
    <t xml:space="preserve">Tejada,Jan Jaycle Javillonar</t>
  </si>
  <si>
    <t xml:space="preserve">2258529</t>
  </si>
  <si>
    <t xml:space="preserve">Cabildo,Tisah May Villamor</t>
  </si>
  <si>
    <t xml:space="preserve">2258577</t>
  </si>
  <si>
    <t xml:space="preserve">Mama,Monisah Cacasi</t>
  </si>
  <si>
    <t xml:space="preserve">2260219</t>
  </si>
  <si>
    <t xml:space="preserve">Albarico,Mecaila</t>
  </si>
  <si>
    <t xml:space="preserve">2260762</t>
  </si>
  <si>
    <t xml:space="preserve">Tadaya,Frederic Palongpong</t>
  </si>
  <si>
    <t xml:space="preserve">2280873</t>
  </si>
  <si>
    <t xml:space="preserve">Relano,Abimael Soliman</t>
  </si>
  <si>
    <t xml:space="preserve">2282116</t>
  </si>
  <si>
    <t xml:space="preserve">De Torres,Renalyn</t>
  </si>
  <si>
    <t xml:space="preserve">900087962</t>
  </si>
  <si>
    <t xml:space="preserve">Nidea,Hazel Kaye</t>
  </si>
  <si>
    <t xml:space="preserve">900088216</t>
  </si>
  <si>
    <t xml:space="preserve">Watanabe,Jean Marie</t>
  </si>
  <si>
    <t xml:space="preserve">900122049</t>
  </si>
  <si>
    <t xml:space="preserve">Aparri,Vicente Juan</t>
  </si>
  <si>
    <t xml:space="preserve">900122636</t>
  </si>
  <si>
    <t xml:space="preserve">Arzaga,Precious Jewel</t>
  </si>
  <si>
    <t xml:space="preserve">900123312</t>
  </si>
  <si>
    <t xml:space="preserve">Rivera,Cherlhyn Anne</t>
  </si>
  <si>
    <t xml:space="preserve">900130098</t>
  </si>
  <si>
    <t xml:space="preserve">🔍  EARLY WARNING SIGNS TRACKER  —  ARCHIENE ROSS CALDERON HERBIAS</t>
  </si>
  <si>
    <t xml:space="preserve">Perez,Gwen Kristina Ebardo</t>
  </si>
  <si>
    <t xml:space="preserve">1939520</t>
  </si>
  <si>
    <t xml:space="preserve">De Los Santos,Phoebe Hannah Apara</t>
  </si>
  <si>
    <t xml:space="preserve">1943508</t>
  </si>
  <si>
    <t xml:space="preserve">Guilipa,Ma Lexy Jean Ucab</t>
  </si>
  <si>
    <t xml:space="preserve">2108438</t>
  </si>
  <si>
    <t xml:space="preserve">Paciñ,Princess Jean Menor</t>
  </si>
  <si>
    <t xml:space="preserve">2232915</t>
  </si>
  <si>
    <t xml:space="preserve">Aniban,Brandon Saludaga</t>
  </si>
  <si>
    <t xml:space="preserve">2233004</t>
  </si>
  <si>
    <t xml:space="preserve">Bureros,Jaybee Benigay</t>
  </si>
  <si>
    <t xml:space="preserve">2235984</t>
  </si>
  <si>
    <t xml:space="preserve">Abueva,Lovely Mae Canizar</t>
  </si>
  <si>
    <t xml:space="preserve">2236076</t>
  </si>
  <si>
    <t xml:space="preserve">Suson,Lurraine</t>
  </si>
  <si>
    <t xml:space="preserve">2238298</t>
  </si>
  <si>
    <t xml:space="preserve">Atendido,Kristelle Calamdag</t>
  </si>
  <si>
    <t xml:space="preserve">2244256</t>
  </si>
  <si>
    <t xml:space="preserve">Rafaela,John Vert Cabato</t>
  </si>
  <si>
    <t xml:space="preserve">2245220</t>
  </si>
  <si>
    <t xml:space="preserve">Nepomuceno,Kristine Jay Ann </t>
  </si>
  <si>
    <t xml:space="preserve">900040071</t>
  </si>
  <si>
    <t xml:space="preserve">Trinidad,Jill  Rondina</t>
  </si>
  <si>
    <t xml:space="preserve">900040082</t>
  </si>
  <si>
    <t xml:space="preserve">Flores, Ma. Pearlen </t>
  </si>
  <si>
    <t xml:space="preserve">900041321</t>
  </si>
  <si>
    <t xml:space="preserve">Pantoja,Ladygain  Pacquiao</t>
  </si>
  <si>
    <t xml:space="preserve">900043324</t>
  </si>
  <si>
    <t xml:space="preserve">Ragasa,Luna Mae </t>
  </si>
  <si>
    <t xml:space="preserve">900046454</t>
  </si>
  <si>
    <t xml:space="preserve">Dungog,Faith</t>
  </si>
  <si>
    <t xml:space="preserve">900048434</t>
  </si>
  <si>
    <t xml:space="preserve">Emnacen,Kathleen Mae</t>
  </si>
  <si>
    <t xml:space="preserve">900062097</t>
  </si>
  <si>
    <t xml:space="preserve">Radaza,Alvingie</t>
  </si>
  <si>
    <t xml:space="preserve">900062114</t>
  </si>
  <si>
    <t xml:space="preserve">🔍  EARLY WARNING SIGNS TRACKER  —  BEULAH GRACE ARROYO DACANAY</t>
  </si>
  <si>
    <t xml:space="preserve">Villamor,Arnel Villanueva</t>
  </si>
  <si>
    <t xml:space="preserve">2125325</t>
  </si>
  <si>
    <t xml:space="preserve">Bautista,Irene</t>
  </si>
  <si>
    <t xml:space="preserve">2130135</t>
  </si>
  <si>
    <t xml:space="preserve">Aboganda,Glylen Jay Basada</t>
  </si>
  <si>
    <t xml:space="preserve">2149643</t>
  </si>
  <si>
    <t xml:space="preserve">Nudalo,Yvette Pacaldo</t>
  </si>
  <si>
    <t xml:space="preserve">2238244</t>
  </si>
  <si>
    <t xml:space="preserve">Taburnal,Godfrey Justan</t>
  </si>
  <si>
    <t xml:space="preserve">2254055</t>
  </si>
  <si>
    <t xml:space="preserve">Gudarido,Cherry Mae Tortugo</t>
  </si>
  <si>
    <t xml:space="preserve">2258536</t>
  </si>
  <si>
    <t xml:space="preserve">Dicdiquin,Analyn Auditor</t>
  </si>
  <si>
    <t xml:space="preserve">2258550</t>
  </si>
  <si>
    <t xml:space="preserve">Angayao,Janiel James </t>
  </si>
  <si>
    <t xml:space="preserve">900041310</t>
  </si>
  <si>
    <t xml:space="preserve">Remosil ,Kyle Vincent</t>
  </si>
  <si>
    <t xml:space="preserve">900041320</t>
  </si>
  <si>
    <t xml:space="preserve">Malaran ,Rennel  </t>
  </si>
  <si>
    <t xml:space="preserve">900047355</t>
  </si>
  <si>
    <t xml:space="preserve">Fedillaga,Jean Clarette</t>
  </si>
  <si>
    <t xml:space="preserve">900062127</t>
  </si>
  <si>
    <t xml:space="preserve">Lao,Patricia</t>
  </si>
  <si>
    <t xml:space="preserve">900062436</t>
  </si>
  <si>
    <t xml:space="preserve">Trazo,Jance</t>
  </si>
  <si>
    <t xml:space="preserve">900064544</t>
  </si>
  <si>
    <t xml:space="preserve">Casuela,Princess Kaye Celeste</t>
  </si>
  <si>
    <t xml:space="preserve">900064588</t>
  </si>
  <si>
    <t xml:space="preserve">Punay,Maicris</t>
  </si>
  <si>
    <t xml:space="preserve">900069944</t>
  </si>
  <si>
    <t xml:space="preserve">Misa,Gemmalyn</t>
  </si>
  <si>
    <t xml:space="preserve">900069982</t>
  </si>
  <si>
    <t xml:space="preserve">Cuevas,Michelle</t>
  </si>
  <si>
    <t xml:space="preserve">900087269</t>
  </si>
  <si>
    <t xml:space="preserve">Caralde,Juliet</t>
  </si>
  <si>
    <t xml:space="preserve">900087475</t>
  </si>
  <si>
    <t xml:space="preserve">Getaruelas,Rogelson</t>
  </si>
  <si>
    <t xml:space="preserve">900098991</t>
  </si>
  <si>
    <t xml:space="preserve">🔍  EARLY WARNING SIGNS TRACKER  —  CARLO ANGELO LIM REGALADO</t>
  </si>
  <si>
    <t xml:space="preserve">Laure,Ailene Logronio</t>
  </si>
  <si>
    <t xml:space="preserve">1045068</t>
  </si>
  <si>
    <t xml:space="preserve">Herbias,Archiene Ross Calderon</t>
  </si>
  <si>
    <t xml:space="preserve">1834949</t>
  </si>
  <si>
    <t xml:space="preserve">Comendador,Leou Alven Narito</t>
  </si>
  <si>
    <t xml:space="preserve">1895222</t>
  </si>
  <si>
    <t xml:space="preserve">Alvaro,Cres Marvin Alexander</t>
  </si>
  <si>
    <t xml:space="preserve">1988888</t>
  </si>
  <si>
    <t xml:space="preserve">🔍  EARLY WARNING SIGNS TRACKER  —  CATHREEN AIZHA RIA ALMAZAN</t>
  </si>
  <si>
    <t xml:space="preserve">Regalado,Carlo Angelo Lim</t>
  </si>
  <si>
    <t xml:space="preserve">957496</t>
  </si>
  <si>
    <t xml:space="preserve">Lapuz,Alanie Sanchez</t>
  </si>
  <si>
    <t xml:space="preserve">1186681</t>
  </si>
  <si>
    <t xml:space="preserve">Tuting,Frederic Matthew Carlos</t>
  </si>
  <si>
    <t xml:space="preserve">1291775</t>
  </si>
  <si>
    <t xml:space="preserve">Rudila,Janice Carbonilla</t>
  </si>
  <si>
    <t xml:space="preserve">1485076</t>
  </si>
  <si>
    <t xml:space="preserve">🔍  EARLY WARNING SIGNS TRACKER  —  CHARLIE JR DE ASIS CUARTERO</t>
  </si>
  <si>
    <t xml:space="preserve">Cabuenas,Paula Joy Diaz</t>
  </si>
  <si>
    <t xml:space="preserve">1130605</t>
  </si>
  <si>
    <t xml:space="preserve">Nares,Vincent Gualdada</t>
  </si>
  <si>
    <t xml:space="preserve">1180052</t>
  </si>
  <si>
    <t xml:space="preserve">Demdam,Sheena Sales</t>
  </si>
  <si>
    <t xml:space="preserve">1304362</t>
  </si>
  <si>
    <t xml:space="preserve">Esperat,Orlando Jr Ignacio</t>
  </si>
  <si>
    <t xml:space="preserve">1364822</t>
  </si>
  <si>
    <t xml:space="preserve">Diligencia,Eunice Datar</t>
  </si>
  <si>
    <t xml:space="preserve">1626237</t>
  </si>
  <si>
    <t xml:space="preserve">Tejada,Gregorio Jr Iii Gallego</t>
  </si>
  <si>
    <t xml:space="preserve">1627458</t>
  </si>
  <si>
    <t xml:space="preserve">Dela Cruz,Carl Dominic</t>
  </si>
  <si>
    <t xml:space="preserve">1910787</t>
  </si>
  <si>
    <t xml:space="preserve">Khalifa,Adnan Raymundo</t>
  </si>
  <si>
    <t xml:space="preserve">1919948</t>
  </si>
  <si>
    <t xml:space="preserve">Bernardez,Paolo Angelo Claveria</t>
  </si>
  <si>
    <t xml:space="preserve">1958881</t>
  </si>
  <si>
    <t xml:space="preserve">Ortega,Olivia Noren Portacio</t>
  </si>
  <si>
    <t xml:space="preserve">900031814</t>
  </si>
  <si>
    <t xml:space="preserve">Satiembre,Joppa Mae Gomura</t>
  </si>
  <si>
    <t xml:space="preserve">900033211</t>
  </si>
  <si>
    <t xml:space="preserve">Estacio,John Khristoffer </t>
  </si>
  <si>
    <t xml:space="preserve">900033222</t>
  </si>
  <si>
    <t xml:space="preserve">Rosas,Arian Ornopia</t>
  </si>
  <si>
    <t xml:space="preserve">900038064</t>
  </si>
  <si>
    <t xml:space="preserve">Galit,Drex Lester  Ene</t>
  </si>
  <si>
    <t xml:space="preserve">900038990</t>
  </si>
  <si>
    <t xml:space="preserve">🔍  EARLY WARNING SIGNS TRACKER  —  CHARMAINE GARDE CALUPIG</t>
  </si>
  <si>
    <t xml:space="preserve">Dumalag,Maria Luisa Mercado</t>
  </si>
  <si>
    <t xml:space="preserve">1181770</t>
  </si>
  <si>
    <t xml:space="preserve">Macasero,Hazel Matos</t>
  </si>
  <si>
    <t xml:space="preserve">1249865</t>
  </si>
  <si>
    <t xml:space="preserve">Lacida,Princess Aileen Delloson</t>
  </si>
  <si>
    <t xml:space="preserve">1365554</t>
  </si>
  <si>
    <t xml:space="preserve">Alasaas,Mark Anthony Espigar</t>
  </si>
  <si>
    <t xml:space="preserve">1384153</t>
  </si>
  <si>
    <t xml:space="preserve">Delos Reyes,Jhorelle Lerona</t>
  </si>
  <si>
    <t xml:space="preserve">1398901</t>
  </si>
  <si>
    <t xml:space="preserve">Lawas,Romel John Ferrero</t>
  </si>
  <si>
    <t xml:space="preserve">1521923</t>
  </si>
  <si>
    <t xml:space="preserve">Lagrimas,Harold James Aguillon</t>
  </si>
  <si>
    <t xml:space="preserve">1522576</t>
  </si>
  <si>
    <t xml:space="preserve">Perez,Joyce Ann Elisan</t>
  </si>
  <si>
    <t xml:space="preserve">1748546</t>
  </si>
  <si>
    <t xml:space="preserve">Macarilay,Jean</t>
  </si>
  <si>
    <t xml:space="preserve">1907247</t>
  </si>
  <si>
    <t xml:space="preserve">Pelicano,Janjejoyce Alvez</t>
  </si>
  <si>
    <t xml:space="preserve">1958931</t>
  </si>
  <si>
    <t xml:space="preserve">Villanueva,Carmina Minorca</t>
  </si>
  <si>
    <t xml:space="preserve">2133869</t>
  </si>
  <si>
    <t xml:space="preserve">Dayrit,Jon Paolo Jao</t>
  </si>
  <si>
    <t xml:space="preserve">2159060</t>
  </si>
  <si>
    <t xml:space="preserve">Rosello,James Bembo</t>
  </si>
  <si>
    <t xml:space="preserve">900068394</t>
  </si>
  <si>
    <t xml:space="preserve">🔍  EARLY WARNING SIGNS TRACKER  —  CHRISEL LINGAT MARTINEZ</t>
  </si>
  <si>
    <t xml:space="preserve">Zablan,Emmanuel Laguilles</t>
  </si>
  <si>
    <t xml:space="preserve">1014806</t>
  </si>
  <si>
    <t xml:space="preserve">Tilbe,Angielyn Yap</t>
  </si>
  <si>
    <t xml:space="preserve">1046283</t>
  </si>
  <si>
    <t xml:space="preserve">Flores,Jan Michael Enciso</t>
  </si>
  <si>
    <t xml:space="preserve">1081100</t>
  </si>
  <si>
    <t xml:space="preserve">Magpusao,Mariecris Villarete</t>
  </si>
  <si>
    <t xml:space="preserve">1087050</t>
  </si>
  <si>
    <t xml:space="preserve">Palma,Michael Richard Infante</t>
  </si>
  <si>
    <t xml:space="preserve">1164811</t>
  </si>
  <si>
    <t xml:space="preserve">Daileg,Kristine Dianne Evangelista</t>
  </si>
  <si>
    <t xml:space="preserve">1164877</t>
  </si>
  <si>
    <t xml:space="preserve">Gaviola,Lester Torno</t>
  </si>
  <si>
    <t xml:space="preserve">1249049</t>
  </si>
  <si>
    <t xml:space="preserve">Ramos,Delta Anne Valeen Ambre</t>
  </si>
  <si>
    <t xml:space="preserve">1250275</t>
  </si>
  <si>
    <t xml:space="preserve">Alejandrino,Ma Lourdes Fontillas</t>
  </si>
  <si>
    <t xml:space="preserve">1300816</t>
  </si>
  <si>
    <t xml:space="preserve">Guiquin,Edison Keith Calawagan</t>
  </si>
  <si>
    <t xml:space="preserve">1307003</t>
  </si>
  <si>
    <t xml:space="preserve">🔍  EARLY WARNING SIGNS TRACKER  —  CRES MARVIN ALEXANDER ALVARO</t>
  </si>
  <si>
    <t xml:space="preserve">Silangan,Kathrina Mae Suycano</t>
  </si>
  <si>
    <t xml:space="preserve">2254052</t>
  </si>
  <si>
    <t xml:space="preserve">Lucresia,Sheena Estorba</t>
  </si>
  <si>
    <t xml:space="preserve">2254111</t>
  </si>
  <si>
    <t xml:space="preserve">🔍  EARLY WARNING SIGNS TRACKER  —  DANICA VILLANO FURISCAL</t>
  </si>
  <si>
    <t xml:space="preserve">Cacnio,Anna Katrina Salvador</t>
  </si>
  <si>
    <t xml:space="preserve">1026075</t>
  </si>
  <si>
    <t xml:space="preserve">Balboa,Maria Carmela Eugenio</t>
  </si>
  <si>
    <t xml:space="preserve">1081291</t>
  </si>
  <si>
    <t xml:space="preserve">Luzong,Erika Nica Robles</t>
  </si>
  <si>
    <t xml:space="preserve">1145959</t>
  </si>
  <si>
    <t xml:space="preserve">Baccay,Jonamie</t>
  </si>
  <si>
    <t xml:space="preserve">1149651</t>
  </si>
  <si>
    <t xml:space="preserve">Pasores,Erika Jane Rodriguez</t>
  </si>
  <si>
    <t xml:space="preserve">1185804</t>
  </si>
  <si>
    <t xml:space="preserve">Tampioc,Ma Rose Ann Casimpoy</t>
  </si>
  <si>
    <t xml:space="preserve">1296850</t>
  </si>
  <si>
    <t xml:space="preserve">Europio,Karen Remedio</t>
  </si>
  <si>
    <t xml:space="preserve">1743027</t>
  </si>
  <si>
    <t xml:space="preserve">Vicentillo,Jude Mike Mojado</t>
  </si>
  <si>
    <t xml:space="preserve">1944148</t>
  </si>
  <si>
    <t xml:space="preserve">Ramos,John Mar Canda</t>
  </si>
  <si>
    <t xml:space="preserve">1944454</t>
  </si>
  <si>
    <t xml:space="preserve">Magsalay,Fitzgerald Caballes</t>
  </si>
  <si>
    <t xml:space="preserve">1949856</t>
  </si>
  <si>
    <t xml:space="preserve">Landan,Hans Mattew Ronco</t>
  </si>
  <si>
    <t xml:space="preserve">2109619</t>
  </si>
  <si>
    <t xml:space="preserve">Micael,Jonathan'C Fabular</t>
  </si>
  <si>
    <t xml:space="preserve">2109629</t>
  </si>
  <si>
    <t xml:space="preserve">Bacalso,Noemie Cruz</t>
  </si>
  <si>
    <t xml:space="preserve">2109679</t>
  </si>
  <si>
    <t xml:space="preserve">Fernandez,Anaquin Rose Reyes</t>
  </si>
  <si>
    <t xml:space="preserve">2109782</t>
  </si>
  <si>
    <t xml:space="preserve">Seña,Pinky Bribon</t>
  </si>
  <si>
    <t xml:space="preserve">2111583</t>
  </si>
  <si>
    <t xml:space="preserve">Azul,Maria Hannah Apacible</t>
  </si>
  <si>
    <t xml:space="preserve">2111615</t>
  </si>
  <si>
    <t xml:space="preserve">Sabayton,Grace Jazmine Agustin</t>
  </si>
  <si>
    <t xml:space="preserve">2117503</t>
  </si>
  <si>
    <t xml:space="preserve">Daing,Helbert Malaki</t>
  </si>
  <si>
    <t xml:space="preserve">2117597</t>
  </si>
  <si>
    <t xml:space="preserve">Managaytay,Jessica Ypil</t>
  </si>
  <si>
    <t xml:space="preserve">2135173</t>
  </si>
  <si>
    <t xml:space="preserve">🔍  EARLY WARNING SIGNS TRACKER  —  DESIREE GRANPIL RUDIO</t>
  </si>
  <si>
    <t xml:space="preserve">Nicolas Jr,Elmirando</t>
  </si>
  <si>
    <t xml:space="preserve">900124195</t>
  </si>
  <si>
    <t xml:space="preserve">De Quiroz,Steven Rommae</t>
  </si>
  <si>
    <t xml:space="preserve">900124197</t>
  </si>
  <si>
    <t xml:space="preserve">Alba,Valeree</t>
  </si>
  <si>
    <t xml:space="preserve">900124212</t>
  </si>
  <si>
    <t xml:space="preserve">Bialen,Mark Anthony</t>
  </si>
  <si>
    <t xml:space="preserve">900127241</t>
  </si>
  <si>
    <t xml:space="preserve">Muyco,Kenrick</t>
  </si>
  <si>
    <t xml:space="preserve">900127270</t>
  </si>
  <si>
    <t xml:space="preserve">Madrigal,Elaiza</t>
  </si>
  <si>
    <t xml:space="preserve">900128612</t>
  </si>
  <si>
    <t xml:space="preserve">Esteban,Maritoni</t>
  </si>
  <si>
    <t xml:space="preserve">900128616</t>
  </si>
  <si>
    <t xml:space="preserve">Cruz,Vigilan</t>
  </si>
  <si>
    <t xml:space="preserve">900128630</t>
  </si>
  <si>
    <t xml:space="preserve">Bulfa,Audrey Joy</t>
  </si>
  <si>
    <t xml:space="preserve">900128639</t>
  </si>
  <si>
    <t xml:space="preserve">Castrudes,Asca</t>
  </si>
  <si>
    <t xml:space="preserve">900128656</t>
  </si>
  <si>
    <t xml:space="preserve">Quintos,Laila Nicole</t>
  </si>
  <si>
    <t xml:space="preserve">900130029</t>
  </si>
  <si>
    <t xml:space="preserve">Banting,Ma Annalyn</t>
  </si>
  <si>
    <t xml:space="preserve">900130217</t>
  </si>
  <si>
    <t xml:space="preserve">🔍  EARLY WARNING SIGNS TRACKER  —  DONABEL SABADO CORRALES</t>
  </si>
  <si>
    <t xml:space="preserve">Carillo,Mearijen Ganola</t>
  </si>
  <si>
    <t xml:space="preserve">2280861</t>
  </si>
  <si>
    <t xml:space="preserve">Gonzales,Howard Tano</t>
  </si>
  <si>
    <t xml:space="preserve">900027213</t>
  </si>
  <si>
    <t xml:space="preserve">Sagucio,Karl Andrew Dotado</t>
  </si>
  <si>
    <t xml:space="preserve">900027214</t>
  </si>
  <si>
    <t xml:space="preserve">Singh,Evelyn Bautista</t>
  </si>
  <si>
    <t xml:space="preserve">900027220</t>
  </si>
  <si>
    <t xml:space="preserve">Isorena,Ma. Bernadette Bagay</t>
  </si>
  <si>
    <t xml:space="preserve">900027223</t>
  </si>
  <si>
    <t xml:space="preserve">Malague�,Nelly Yaranon</t>
  </si>
  <si>
    <t xml:space="preserve">900027245</t>
  </si>
  <si>
    <t xml:space="preserve">Osias,Cathlene  Manlap</t>
  </si>
  <si>
    <t xml:space="preserve">900027264</t>
  </si>
  <si>
    <t xml:space="preserve">Balintong,Angela Ais</t>
  </si>
  <si>
    <t xml:space="preserve">900027301</t>
  </si>
  <si>
    <t xml:space="preserve">Libres,Kurt  Lacdo</t>
  </si>
  <si>
    <t xml:space="preserve">900027372</t>
  </si>
  <si>
    <t xml:space="preserve">Moralla,Jonalyn Castillo</t>
  </si>
  <si>
    <t xml:space="preserve">900027374</t>
  </si>
  <si>
    <t xml:space="preserve">Zamora,Philip NA</t>
  </si>
  <si>
    <t xml:space="preserve">900027390</t>
  </si>
  <si>
    <t xml:space="preserve">Rendon,Janine  Montian</t>
  </si>
  <si>
    <t xml:space="preserve">900027594</t>
  </si>
  <si>
    <t xml:space="preserve">Quillan,Jemrick Borja</t>
  </si>
  <si>
    <t xml:space="preserve">900028565</t>
  </si>
  <si>
    <t xml:space="preserve">Villasper,Ron Cedrick Miradora </t>
  </si>
  <si>
    <t xml:space="preserve">900030458</t>
  </si>
  <si>
    <t xml:space="preserve">Javier,Myralyn Usabal</t>
  </si>
  <si>
    <t xml:space="preserve">900030460</t>
  </si>
  <si>
    <t xml:space="preserve">Vergara,Mary Ann Macapagal</t>
  </si>
  <si>
    <t xml:space="preserve">900030500</t>
  </si>
  <si>
    <t xml:space="preserve">Abitago,Ma. Lea Buere</t>
  </si>
  <si>
    <t xml:space="preserve">900031153</t>
  </si>
  <si>
    <t xml:space="preserve">🔍  EARLY WARNING SIGNS TRACKER  —  EFREN JR CAITOR VARIACION</t>
  </si>
  <si>
    <t xml:space="preserve">Mayagma,Juannah Ababa</t>
  </si>
  <si>
    <t xml:space="preserve">1623051</t>
  </si>
  <si>
    <t xml:space="preserve">Espinosa,Rein Athalia De La Victoria</t>
  </si>
  <si>
    <t xml:space="preserve">2119335</t>
  </si>
  <si>
    <t xml:space="preserve">Gino,Jecelyn Villaver</t>
  </si>
  <si>
    <t xml:space="preserve">2236086</t>
  </si>
  <si>
    <t xml:space="preserve">Rufino,Ross Nicolle Tomaroy</t>
  </si>
  <si>
    <t xml:space="preserve">2244265</t>
  </si>
  <si>
    <t xml:space="preserve">Roda,Hunny Mae Legara</t>
  </si>
  <si>
    <t xml:space="preserve">2244762</t>
  </si>
  <si>
    <t xml:space="preserve">Garcia,Queeny Rose Undaloc</t>
  </si>
  <si>
    <t xml:space="preserve">2258515</t>
  </si>
  <si>
    <t xml:space="preserve">Gabucan,Jemalyn  Navarro </t>
  </si>
  <si>
    <t xml:space="preserve">900041368</t>
  </si>
  <si>
    <t xml:space="preserve">Manacap,Jelie May</t>
  </si>
  <si>
    <t xml:space="preserve">900045128</t>
  </si>
  <si>
    <t xml:space="preserve">Ubas,Kimber Faith</t>
  </si>
  <si>
    <t xml:space="preserve">900069890</t>
  </si>
  <si>
    <t xml:space="preserve">Apas,Wilson Ly</t>
  </si>
  <si>
    <t xml:space="preserve">900069901</t>
  </si>
  <si>
    <t xml:space="preserve">Miranda,Nivea Mae</t>
  </si>
  <si>
    <t xml:space="preserve">900087479</t>
  </si>
  <si>
    <t xml:space="preserve">Zabate,Reynante</t>
  </si>
  <si>
    <t xml:space="preserve">900096774</t>
  </si>
  <si>
    <t xml:space="preserve">Ferolino,Emery Danielle</t>
  </si>
  <si>
    <t xml:space="preserve">900124166</t>
  </si>
  <si>
    <t xml:space="preserve">Aplacador,Rosalyn</t>
  </si>
  <si>
    <t xml:space="preserve">900124172</t>
  </si>
  <si>
    <t xml:space="preserve">Cabatuan,Adrian Ray</t>
  </si>
  <si>
    <t xml:space="preserve">900124179</t>
  </si>
  <si>
    <t xml:space="preserve">Gomez,Edilyn</t>
  </si>
  <si>
    <t xml:space="preserve">900124187</t>
  </si>
  <si>
    <t xml:space="preserve">Despi,Ronah Mae</t>
  </si>
  <si>
    <t xml:space="preserve">900124209</t>
  </si>
  <si>
    <t xml:space="preserve">Batobalonos,Florijane</t>
  </si>
  <si>
    <t xml:space="preserve">900124991</t>
  </si>
  <si>
    <t xml:space="preserve">🔍  EARLY WARNING SIGNS TRACKER  —  FREDERIC MATTHEW CARLOS TUTING</t>
  </si>
  <si>
    <t xml:space="preserve">Viloria,Floraine Ann Villaraza</t>
  </si>
  <si>
    <t xml:space="preserve">1087051</t>
  </si>
  <si>
    <t xml:space="preserve">Fernandez,Lea Ibag</t>
  </si>
  <si>
    <t xml:space="preserve">1305110</t>
  </si>
  <si>
    <t xml:space="preserve">Abrasado,Jennie Ann Mondido</t>
  </si>
  <si>
    <t xml:space="preserve">1317924</t>
  </si>
  <si>
    <t xml:space="preserve">Fuentenegra,Victor Jr Cabriles</t>
  </si>
  <si>
    <t xml:space="preserve">1629542</t>
  </si>
  <si>
    <t xml:space="preserve">🔍  EARLY WARNING SIGNS TRACKER  —  GAY OLID LOBRIN</t>
  </si>
  <si>
    <t xml:space="preserve">Soledad,Criselle Faith Bambico</t>
  </si>
  <si>
    <t xml:space="preserve">1892681</t>
  </si>
  <si>
    <t xml:space="preserve">Agda,Kenneth Bryan</t>
  </si>
  <si>
    <t xml:space="preserve">1910213</t>
  </si>
  <si>
    <t xml:space="preserve">Macaraeg,Michael Bairan</t>
  </si>
  <si>
    <t xml:space="preserve">1922447</t>
  </si>
  <si>
    <t xml:space="preserve">Logmao,Nyrene Grace Lozada</t>
  </si>
  <si>
    <t xml:space="preserve">2116323</t>
  </si>
  <si>
    <t xml:space="preserve">Come,Martin Cultivo</t>
  </si>
  <si>
    <t xml:space="preserve">2116332</t>
  </si>
  <si>
    <t xml:space="preserve">Allorde,Jose Francisco Sustituido</t>
  </si>
  <si>
    <t xml:space="preserve">2133436</t>
  </si>
  <si>
    <t xml:space="preserve">Tabuzo,Ma Sofia Lorraine Yuga</t>
  </si>
  <si>
    <t xml:space="preserve">2133457</t>
  </si>
  <si>
    <t xml:space="preserve">Bajande,Ivy Ann Barcenas</t>
  </si>
  <si>
    <t xml:space="preserve">2133849</t>
  </si>
  <si>
    <t xml:space="preserve">Catayas,Cristel Ann Nodesca</t>
  </si>
  <si>
    <t xml:space="preserve">2160029</t>
  </si>
  <si>
    <t xml:space="preserve">Toledo,Junior Abraham Iii Acero</t>
  </si>
  <si>
    <t xml:space="preserve">2243232</t>
  </si>
  <si>
    <t xml:space="preserve">Baroñ,Lady Glennise Maristela</t>
  </si>
  <si>
    <t xml:space="preserve">2243245</t>
  </si>
  <si>
    <t xml:space="preserve">Yu,Samantha Joyce Tumbali</t>
  </si>
  <si>
    <t xml:space="preserve">2244749</t>
  </si>
  <si>
    <t xml:space="preserve">Seatriz,Ben Israel Ramos</t>
  </si>
  <si>
    <t xml:space="preserve">2247372</t>
  </si>
  <si>
    <t xml:space="preserve">Sapungan,Cherry Ann Gerbabuena</t>
  </si>
  <si>
    <t xml:space="preserve">2247404</t>
  </si>
  <si>
    <t xml:space="preserve">Umalla,Julie Valeros</t>
  </si>
  <si>
    <t xml:space="preserve">2250928</t>
  </si>
  <si>
    <t xml:space="preserve">Base,Rachel Mae Mabini</t>
  </si>
  <si>
    <t xml:space="preserve">2258553</t>
  </si>
  <si>
    <t xml:space="preserve">🔍  EARLY WARNING SIGNS TRACKER  —  HECTOR RAMIRO LABOY- LEBRON</t>
  </si>
  <si>
    <t xml:space="preserve">Benitez-Garcia,Edward Abraham</t>
  </si>
  <si>
    <t xml:space="preserve">1449796</t>
  </si>
  <si>
    <t xml:space="preserve">Valcarcel,Jean Andre</t>
  </si>
  <si>
    <t xml:space="preserve">1491441</t>
  </si>
  <si>
    <t xml:space="preserve">Hernandez,Zara Ellis</t>
  </si>
  <si>
    <t xml:space="preserve">1517798</t>
  </si>
  <si>
    <t xml:space="preserve">Nieves Rivera,Luz Celenia</t>
  </si>
  <si>
    <t xml:space="preserve">1610513</t>
  </si>
  <si>
    <t xml:space="preserve">Rosado Ortiz,Neyssa Yeshaira</t>
  </si>
  <si>
    <t xml:space="preserve">1625887</t>
  </si>
  <si>
    <t xml:space="preserve">Diaz,Karyna</t>
  </si>
  <si>
    <t xml:space="preserve">2060201</t>
  </si>
  <si>
    <t xml:space="preserve">Pellot Nieves,Dermalis</t>
  </si>
  <si>
    <t xml:space="preserve">2065776</t>
  </si>
  <si>
    <t xml:space="preserve">Rivera Rodriguez,Shirley Ann</t>
  </si>
  <si>
    <t xml:space="preserve">2067636</t>
  </si>
  <si>
    <t xml:space="preserve">Huertas,Jazmine</t>
  </si>
  <si>
    <t xml:space="preserve">2069753</t>
  </si>
  <si>
    <t xml:space="preserve">De Jesus,Michelle</t>
  </si>
  <si>
    <t xml:space="preserve">2069802</t>
  </si>
  <si>
    <t xml:space="preserve">Delgado,Jahyra</t>
  </si>
  <si>
    <t xml:space="preserve">2069808</t>
  </si>
  <si>
    <t xml:space="preserve">Estremera,Natasha Alana</t>
  </si>
  <si>
    <t xml:space="preserve">2088202</t>
  </si>
  <si>
    <t xml:space="preserve">Lastra,Esteban Isaul</t>
  </si>
  <si>
    <t xml:space="preserve">2088211</t>
  </si>
  <si>
    <t xml:space="preserve">Rivera Alvarado,Christian O</t>
  </si>
  <si>
    <t xml:space="preserve">2088217</t>
  </si>
  <si>
    <t xml:space="preserve">🔍  EARLY WARNING SIGNS TRACKER  —  JANICE CARBONILLA RUDILA</t>
  </si>
  <si>
    <t xml:space="preserve">Lluch,Krizza Louise Lariosa</t>
  </si>
  <si>
    <t xml:space="preserve">1092209</t>
  </si>
  <si>
    <t xml:space="preserve">Bringas,Leah Bernadette Lavalle</t>
  </si>
  <si>
    <t xml:space="preserve">1251522</t>
  </si>
  <si>
    <t xml:space="preserve">Lobrin,Gay Olid</t>
  </si>
  <si>
    <t xml:space="preserve">1298011</t>
  </si>
  <si>
    <t xml:space="preserve">Dacanay,Beulah Grace Arroyo</t>
  </si>
  <si>
    <t xml:space="preserve">1300316</t>
  </si>
  <si>
    <t xml:space="preserve">Variacion,Efren Jr Caitor</t>
  </si>
  <si>
    <t xml:space="preserve">1950504</t>
  </si>
  <si>
    <t xml:space="preserve">Campanilla,Brennan Roy Solis</t>
  </si>
  <si>
    <t xml:space="preserve">2254045</t>
  </si>
  <si>
    <t xml:space="preserve">🔍  EARLY WARNING SIGNS TRACKER  —  JEAN PAUL RAYMUNDO LARRACAS</t>
  </si>
  <si>
    <t xml:space="preserve">Acot,Chreshiela Mag Usara</t>
  </si>
  <si>
    <t xml:space="preserve">1065833</t>
  </si>
  <si>
    <t xml:space="preserve">Galang,Jerwin Sanchez</t>
  </si>
  <si>
    <t xml:space="preserve">1089313</t>
  </si>
  <si>
    <t xml:space="preserve">Gaurano,Jacob Philip Jumaquio</t>
  </si>
  <si>
    <t xml:space="preserve">1090847</t>
  </si>
  <si>
    <t xml:space="preserve">Ricamora,Maria Regina Victoria Laguna</t>
  </si>
  <si>
    <t xml:space="preserve">1145971</t>
  </si>
  <si>
    <t xml:space="preserve">Castro,Christian Lavaran</t>
  </si>
  <si>
    <t xml:space="preserve">1145993</t>
  </si>
  <si>
    <t xml:space="preserve">Delena,Rhea Mea Mabulac</t>
  </si>
  <si>
    <t xml:space="preserve">1227045</t>
  </si>
  <si>
    <t xml:space="preserve">Nieva,Sheryl Ann Palomata</t>
  </si>
  <si>
    <t xml:space="preserve">1249987</t>
  </si>
  <si>
    <t xml:space="preserve">Yulo,Nickaela Felongco</t>
  </si>
  <si>
    <t xml:space="preserve">1260035</t>
  </si>
  <si>
    <t xml:space="preserve">Langomez,Mary Jane Arnigo</t>
  </si>
  <si>
    <t xml:space="preserve">1383786</t>
  </si>
  <si>
    <t xml:space="preserve">Interia,Madelliene Natino</t>
  </si>
  <si>
    <t xml:space="preserve">1736907</t>
  </si>
  <si>
    <t xml:space="preserve">Baratas,Ma Shiella Mae Cagas</t>
  </si>
  <si>
    <t xml:space="preserve">1928288</t>
  </si>
  <si>
    <t xml:space="preserve">Ampo,Emilie Lozano</t>
  </si>
  <si>
    <t xml:space="preserve">1942146</t>
  </si>
  <si>
    <t xml:space="preserve">Tasarra,Edward Joseph Sumaylo</t>
  </si>
  <si>
    <t xml:space="preserve">1964635</t>
  </si>
  <si>
    <t xml:space="preserve">Legista,Marycel Abastillas</t>
  </si>
  <si>
    <t xml:space="preserve">2109611</t>
  </si>
  <si>
    <t xml:space="preserve">Macaraig,Avon Grace Jimenez</t>
  </si>
  <si>
    <t xml:space="preserve">2109749</t>
  </si>
  <si>
    <t xml:space="preserve">Lirit,Timothy James Ho</t>
  </si>
  <si>
    <t xml:space="preserve">2111586</t>
  </si>
  <si>
    <t xml:space="preserve">Ampuller,Ronnel Gaitan</t>
  </si>
  <si>
    <t xml:space="preserve">2121190</t>
  </si>
  <si>
    <t xml:space="preserve">Pantorilla,Cirila Montilde</t>
  </si>
  <si>
    <t xml:space="preserve">2130126</t>
  </si>
  <si>
    <t xml:space="preserve">Manuel,Jose Jason Merioles</t>
  </si>
  <si>
    <t xml:space="preserve">2133451</t>
  </si>
  <si>
    <t xml:space="preserve">Verallo,Christian Neil</t>
  </si>
  <si>
    <t xml:space="preserve">2148932</t>
  </si>
  <si>
    <t xml:space="preserve">Sepe,Amir Batistis</t>
  </si>
  <si>
    <t xml:space="preserve">2282019</t>
  </si>
  <si>
    <t xml:space="preserve">Sulayao,Windy Homyao</t>
  </si>
  <si>
    <t xml:space="preserve">2282550</t>
  </si>
  <si>
    <t xml:space="preserve">🔍  EARLY WARNING SIGNS TRACKER  —  JENNIE ANN MONDIDO ABRASADO</t>
  </si>
  <si>
    <t xml:space="preserve">Dasig,Rizza Joy Ymalay</t>
  </si>
  <si>
    <t xml:space="preserve">1255197</t>
  </si>
  <si>
    <t xml:space="preserve">Tamparong,Dyan Ross Bucol</t>
  </si>
  <si>
    <t xml:space="preserve">1398920</t>
  </si>
  <si>
    <t xml:space="preserve">Tacio,Erma Basubas</t>
  </si>
  <si>
    <t xml:space="preserve">1691233</t>
  </si>
  <si>
    <t xml:space="preserve">Deniega,Aileen Grace</t>
  </si>
  <si>
    <t xml:space="preserve">1920002</t>
  </si>
  <si>
    <t xml:space="preserve">Facundo,Annalou Pepito</t>
  </si>
  <si>
    <t xml:space="preserve">1928611</t>
  </si>
  <si>
    <t xml:space="preserve">Comporal,Nemesio Jr Manuel</t>
  </si>
  <si>
    <t xml:space="preserve">1957089</t>
  </si>
  <si>
    <t xml:space="preserve">Geloca,Ramses Panimdim</t>
  </si>
  <si>
    <t xml:space="preserve">1957896</t>
  </si>
  <si>
    <t xml:space="preserve">Cabaero,Queen Ann Mondreza</t>
  </si>
  <si>
    <t xml:space="preserve">2109680</t>
  </si>
  <si>
    <t xml:space="preserve">Zabate,Kc Marie Capol</t>
  </si>
  <si>
    <t xml:space="preserve">2147962</t>
  </si>
  <si>
    <t xml:space="preserve">Legania,Leonisa</t>
  </si>
  <si>
    <t xml:space="preserve">900041366</t>
  </si>
  <si>
    <t xml:space="preserve">Guimary,Arabela</t>
  </si>
  <si>
    <t xml:space="preserve">900062090</t>
  </si>
  <si>
    <t xml:space="preserve">Estardo,Ashley Amber</t>
  </si>
  <si>
    <t xml:space="preserve">900062126</t>
  </si>
  <si>
    <t xml:space="preserve">Caballero,Clowie</t>
  </si>
  <si>
    <t xml:space="preserve">900064554</t>
  </si>
  <si>
    <t xml:space="preserve">Talaugon,Marie Kris</t>
  </si>
  <si>
    <t xml:space="preserve">900073824</t>
  </si>
  <si>
    <t xml:space="preserve">Taghoy,Shiela Jade</t>
  </si>
  <si>
    <t xml:space="preserve">900073876</t>
  </si>
  <si>
    <t xml:space="preserve">Manipol,Veronica</t>
  </si>
  <si>
    <t xml:space="preserve">900073896</t>
  </si>
  <si>
    <t xml:space="preserve">Gac Ang,Greina Gey</t>
  </si>
  <si>
    <t xml:space="preserve">900078899</t>
  </si>
  <si>
    <t xml:space="preserve">Encabo,Kimberly</t>
  </si>
  <si>
    <t xml:space="preserve">900081091</t>
  </si>
  <si>
    <t xml:space="preserve">Uy,Mari Valerie</t>
  </si>
  <si>
    <t xml:space="preserve">900081092</t>
  </si>
  <si>
    <t xml:space="preserve">Gludo,Venice</t>
  </si>
  <si>
    <t xml:space="preserve">900081114</t>
  </si>
  <si>
    <t xml:space="preserve">🔍  EARLY WARNING SIGNS TRACKER  —  JENNIFER N BURGOS-RIVERA</t>
  </si>
  <si>
    <t xml:space="preserve">Cruz Rivera,Denisse Cruz</t>
  </si>
  <si>
    <t xml:space="preserve">1419701</t>
  </si>
  <si>
    <t xml:space="preserve">Medina Pol,Paola</t>
  </si>
  <si>
    <t xml:space="preserve">1449004</t>
  </si>
  <si>
    <t xml:space="preserve">Lebron-Gonzalez,Yara Lidmar</t>
  </si>
  <si>
    <t xml:space="preserve">1459170</t>
  </si>
  <si>
    <t xml:space="preserve">Castro,Clarideliz M</t>
  </si>
  <si>
    <t xml:space="preserve">1510874</t>
  </si>
  <si>
    <t xml:space="preserve">Soto Rossi,Thaimara Enid</t>
  </si>
  <si>
    <t xml:space="preserve">1516699</t>
  </si>
  <si>
    <t xml:space="preserve">Brewster Fuentes,Analories</t>
  </si>
  <si>
    <t xml:space="preserve">1517184</t>
  </si>
  <si>
    <t xml:space="preserve">Ortiz Figueroa,Jennifer L</t>
  </si>
  <si>
    <t xml:space="preserve">1520574</t>
  </si>
  <si>
    <t xml:space="preserve">Nieves,Johan Emmanuel</t>
  </si>
  <si>
    <t xml:space="preserve">1523459</t>
  </si>
  <si>
    <t xml:space="preserve">Burgos Ramos,Luis R</t>
  </si>
  <si>
    <t xml:space="preserve">1523496</t>
  </si>
  <si>
    <t xml:space="preserve">Garcia Rivera,Jose Ivan</t>
  </si>
  <si>
    <t xml:space="preserve">1526203</t>
  </si>
  <si>
    <t xml:space="preserve">Carrillo,Ruth N</t>
  </si>
  <si>
    <t xml:space="preserve">1526211</t>
  </si>
  <si>
    <t xml:space="preserve">Ortiz,Paloma M</t>
  </si>
  <si>
    <t xml:space="preserve">1618688</t>
  </si>
  <si>
    <t xml:space="preserve">Ortega,Luis Emanuel</t>
  </si>
  <si>
    <t xml:space="preserve">1621525</t>
  </si>
  <si>
    <t xml:space="preserve">Miranda,Joanliz</t>
  </si>
  <si>
    <t xml:space="preserve">1624620</t>
  </si>
  <si>
    <t xml:space="preserve">🔍  EARLY WARNING SIGNS TRACKER  —  JERIC AMAZONA MANSIBANG</t>
  </si>
  <si>
    <t xml:space="preserve">Caumeran,Mark Dhaniel</t>
  </si>
  <si>
    <t xml:space="preserve">1087700</t>
  </si>
  <si>
    <t xml:space="preserve">Morales,Chlea</t>
  </si>
  <si>
    <t xml:space="preserve">1460504</t>
  </si>
  <si>
    <t xml:space="preserve">Babatingan,Xiao</t>
  </si>
  <si>
    <t xml:space="preserve">1918905</t>
  </si>
  <si>
    <t xml:space="preserve">Aguilar,Franc Lyn Tubalde</t>
  </si>
  <si>
    <t xml:space="preserve">2119328</t>
  </si>
  <si>
    <t xml:space="preserve">Monteseven,April Labitan</t>
  </si>
  <si>
    <t xml:space="preserve">2119625</t>
  </si>
  <si>
    <t xml:space="preserve">Paquebot,Joseph Darrel Tagimacruz</t>
  </si>
  <si>
    <t xml:space="preserve">2147980</t>
  </si>
  <si>
    <t xml:space="preserve">Mag-Asin,Jake Unabia</t>
  </si>
  <si>
    <t xml:space="preserve">2238202</t>
  </si>
  <si>
    <t xml:space="preserve">Pilapil ,Faith Riane  </t>
  </si>
  <si>
    <t xml:space="preserve">900040471</t>
  </si>
  <si>
    <t xml:space="preserve">Bairoy,Dave Alleen Glodove</t>
  </si>
  <si>
    <t xml:space="preserve">900041334</t>
  </si>
  <si>
    <t xml:space="preserve">Rosales,Dale Andrew</t>
  </si>
  <si>
    <t xml:space="preserve">900061441</t>
  </si>
  <si>
    <t xml:space="preserve">Paldo,Lency</t>
  </si>
  <si>
    <t xml:space="preserve">900069888</t>
  </si>
  <si>
    <t xml:space="preserve">Desucatan,Dany Lyn</t>
  </si>
  <si>
    <t xml:space="preserve">900069915</t>
  </si>
  <si>
    <t xml:space="preserve">Caballero,Henesy</t>
  </si>
  <si>
    <t xml:space="preserve">900069933</t>
  </si>
  <si>
    <t xml:space="preserve">Gonzales,Mary Joy</t>
  </si>
  <si>
    <t xml:space="preserve">900069936</t>
  </si>
  <si>
    <t xml:space="preserve">Jabines,Christy Jhohany</t>
  </si>
  <si>
    <t xml:space="preserve">900069964</t>
  </si>
  <si>
    <t xml:space="preserve">Labra,Shela Mae</t>
  </si>
  <si>
    <t xml:space="preserve">900073817</t>
  </si>
  <si>
    <t xml:space="preserve">Gabato,Jape</t>
  </si>
  <si>
    <t xml:space="preserve">900074295</t>
  </si>
  <si>
    <t xml:space="preserve">Bentulan,Shiela May</t>
  </si>
  <si>
    <t xml:space="preserve">900099358</t>
  </si>
  <si>
    <t xml:space="preserve">🔍  EARLY WARNING SIGNS TRACKER  —  JOHN EARL MELITADO LAGARE</t>
  </si>
  <si>
    <t xml:space="preserve">Reyes,Ivy Ciara Aquino</t>
  </si>
  <si>
    <t xml:space="preserve">2116397</t>
  </si>
  <si>
    <t xml:space="preserve">Aguilar,Jaen Mikhail Lopez</t>
  </si>
  <si>
    <t xml:space="preserve">2123241</t>
  </si>
  <si>
    <t xml:space="preserve">Basanez,Jeremiah Velez</t>
  </si>
  <si>
    <t xml:space="preserve">2133433</t>
  </si>
  <si>
    <t xml:space="preserve">Mayoralgo,Erik John</t>
  </si>
  <si>
    <t xml:space="preserve">2258009</t>
  </si>
  <si>
    <t xml:space="preserve">Intes,Raffy Rubio</t>
  </si>
  <si>
    <t xml:space="preserve">2258056</t>
  </si>
  <si>
    <t xml:space="preserve">Aniceto,Ronald Gapud</t>
  </si>
  <si>
    <t xml:space="preserve">900027364</t>
  </si>
  <si>
    <t xml:space="preserve">Buena,Jennica Joy Credo</t>
  </si>
  <si>
    <t xml:space="preserve">900031844</t>
  </si>
  <si>
    <t xml:space="preserve">Ruiz,Kelly Anne Ramos</t>
  </si>
  <si>
    <t xml:space="preserve">900031884</t>
  </si>
  <si>
    <t xml:space="preserve">Frayres,Joveleen Frades</t>
  </si>
  <si>
    <t xml:space="preserve">900035891</t>
  </si>
  <si>
    <t xml:space="preserve">Tan,Joshua Nicolai Milleza</t>
  </si>
  <si>
    <t xml:space="preserve">900038282</t>
  </si>
  <si>
    <t xml:space="preserve">Jetonso,John Christian</t>
  </si>
  <si>
    <t xml:space="preserve">900061493</t>
  </si>
  <si>
    <t xml:space="preserve">Fuentes,Maria Amor</t>
  </si>
  <si>
    <t xml:space="preserve">900061952</t>
  </si>
  <si>
    <t xml:space="preserve">Eliseo,Carl Albert</t>
  </si>
  <si>
    <t xml:space="preserve">900079657</t>
  </si>
  <si>
    <t xml:space="preserve">Sarillana,Paolo Nicholas</t>
  </si>
  <si>
    <t xml:space="preserve">900081635</t>
  </si>
  <si>
    <t xml:space="preserve">Lapidante,Francisco Iii</t>
  </si>
  <si>
    <t xml:space="preserve">900103389</t>
  </si>
  <si>
    <t xml:space="preserve">Frianeza,Jaira Anne</t>
  </si>
  <si>
    <t xml:space="preserve">900108895</t>
  </si>
  <si>
    <t xml:space="preserve">🔍  EARLY WARNING SIGNS TRACKER  —  JOHNNY REY DIAZ BONOCAN</t>
  </si>
  <si>
    <t xml:space="preserve">Millano Jr,Uldarico Nazareno</t>
  </si>
  <si>
    <t xml:space="preserve">1089038</t>
  </si>
  <si>
    <t xml:space="preserve">Legada,Rennjan Basiliano</t>
  </si>
  <si>
    <t xml:space="preserve">1381979</t>
  </si>
  <si>
    <t xml:space="preserve">Ticuala,Geraldine Damolkis</t>
  </si>
  <si>
    <t xml:space="preserve">1390507</t>
  </si>
  <si>
    <t xml:space="preserve">Villanueva,Janshen Leyda Dacanay</t>
  </si>
  <si>
    <t xml:space="preserve">1523534</t>
  </si>
  <si>
    <t xml:space="preserve">Libiran,Marites Mabuting</t>
  </si>
  <si>
    <t xml:space="preserve">1625328</t>
  </si>
  <si>
    <t xml:space="preserve">Oran,Mark Jayson Lucino</t>
  </si>
  <si>
    <t xml:space="preserve">1933799</t>
  </si>
  <si>
    <t xml:space="preserve">Silva,Maclin Tiamzon</t>
  </si>
  <si>
    <t xml:space="preserve">1939156</t>
  </si>
  <si>
    <t xml:space="preserve">Calinga,Jo An Dungog</t>
  </si>
  <si>
    <t xml:space="preserve">2133848</t>
  </si>
  <si>
    <t xml:space="preserve">Almodiel,John Christian Cataluñ</t>
  </si>
  <si>
    <t xml:space="preserve">2243233</t>
  </si>
  <si>
    <t xml:space="preserve">Delacruz,Jacques Mikhail Obstaculo</t>
  </si>
  <si>
    <t xml:space="preserve">2244760</t>
  </si>
  <si>
    <t xml:space="preserve">Linaza,Kimmy Jane Evangelio</t>
  </si>
  <si>
    <t xml:space="preserve">2250925</t>
  </si>
  <si>
    <t xml:space="preserve">Alberto,Remy Rose Romanillos</t>
  </si>
  <si>
    <t xml:space="preserve">2251675</t>
  </si>
  <si>
    <t xml:space="preserve">Manabat,Aubrey Serojano</t>
  </si>
  <si>
    <t xml:space="preserve">2258005</t>
  </si>
  <si>
    <t xml:space="preserve">Bravante,Hazel Anne Regunay</t>
  </si>
  <si>
    <t xml:space="preserve">2280854</t>
  </si>
  <si>
    <t xml:space="preserve">Severino,Gerr Mae Siose</t>
  </si>
  <si>
    <t xml:space="preserve">900027232</t>
  </si>
  <si>
    <t xml:space="preserve">Halagna,Divine Grace Guangco</t>
  </si>
  <si>
    <t xml:space="preserve">900027247</t>
  </si>
  <si>
    <t xml:space="preserve">🔍  EARLY WARNING SIGNS TRACKER  —  JOSEPH ANDREW CERA BALLESTEROS</t>
  </si>
  <si>
    <t xml:space="preserve">Capito,Marydeth Judith Donayre</t>
  </si>
  <si>
    <t xml:space="preserve">1090151</t>
  </si>
  <si>
    <t xml:space="preserve">Jadol,Cyrus Mejos</t>
  </si>
  <si>
    <t xml:space="preserve">1183726</t>
  </si>
  <si>
    <t xml:space="preserve">Navales,Venus Salinas</t>
  </si>
  <si>
    <t xml:space="preserve">1227617</t>
  </si>
  <si>
    <t xml:space="preserve">Alegre,Gretchen Hazel Senit</t>
  </si>
  <si>
    <t xml:space="preserve">1300294</t>
  </si>
  <si>
    <t xml:space="preserve">Sidra,Mark Josef Ando</t>
  </si>
  <si>
    <t xml:space="preserve">1735451</t>
  </si>
  <si>
    <t xml:space="preserve">Daguil,John Kevin Otadora</t>
  </si>
  <si>
    <t xml:space="preserve">1743058</t>
  </si>
  <si>
    <t xml:space="preserve">Dando,Philip Plania</t>
  </si>
  <si>
    <t xml:space="preserve">1910668</t>
  </si>
  <si>
    <t xml:space="preserve">Tac Al,Kristal Jane Avila</t>
  </si>
  <si>
    <t xml:space="preserve">1913648</t>
  </si>
  <si>
    <t xml:space="preserve">Vallejo,Annabelle Abenasa</t>
  </si>
  <si>
    <t xml:space="preserve">1926537</t>
  </si>
  <si>
    <t xml:space="preserve">Escarlan,Aljon Labahata</t>
  </si>
  <si>
    <t xml:space="preserve">1930710</t>
  </si>
  <si>
    <t xml:space="preserve">Olivar,Kristine Joyce Ilustrisimo</t>
  </si>
  <si>
    <t xml:space="preserve">1944481</t>
  </si>
  <si>
    <t xml:space="preserve">Panganiban,Lorenzo Miguel Enore</t>
  </si>
  <si>
    <t xml:space="preserve">1958944</t>
  </si>
  <si>
    <t xml:space="preserve">Jumamoy,Zyrelle Brylle</t>
  </si>
  <si>
    <t xml:space="preserve">2125901</t>
  </si>
  <si>
    <t xml:space="preserve">Guevara,Jessica Minoza</t>
  </si>
  <si>
    <t xml:space="preserve">2133439</t>
  </si>
  <si>
    <t xml:space="preserve">Gatchalian,Ernie Marie Caburian</t>
  </si>
  <si>
    <t xml:space="preserve">2133442</t>
  </si>
  <si>
    <t xml:space="preserve">🔍  EARLY WARNING SIGNS TRACKER  —  KATHRINA MAE SUYCANO SILANGAN</t>
  </si>
  <si>
    <t xml:space="preserve">Sibucao,Rebecca Baldado</t>
  </si>
  <si>
    <t xml:space="preserve">1256445</t>
  </si>
  <si>
    <t xml:space="preserve">Gallener,Maria Thalia Alban</t>
  </si>
  <si>
    <t xml:space="preserve">1965488</t>
  </si>
  <si>
    <t xml:space="preserve">Arioja,Ava Christine Caneba</t>
  </si>
  <si>
    <t xml:space="preserve">2125310</t>
  </si>
  <si>
    <t xml:space="preserve">Quijano,Tirs Jolebelle Lamberte</t>
  </si>
  <si>
    <t xml:space="preserve">2125318</t>
  </si>
  <si>
    <t xml:space="preserve">Cabreros,Jhanen Quinio</t>
  </si>
  <si>
    <t xml:space="preserve">2125879</t>
  </si>
  <si>
    <t xml:space="preserve">Guanes,Donna Anne Anasco</t>
  </si>
  <si>
    <t xml:space="preserve">2125929</t>
  </si>
  <si>
    <t xml:space="preserve">Rota,Mary Lyka Dela Cruz</t>
  </si>
  <si>
    <t xml:space="preserve">2148941</t>
  </si>
  <si>
    <t xml:space="preserve">Mansueto,Mark Anthony Titong</t>
  </si>
  <si>
    <t xml:space="preserve">2233020</t>
  </si>
  <si>
    <t xml:space="preserve">Cenerpida,Eliza Joe Lumayag</t>
  </si>
  <si>
    <t xml:space="preserve">2235972</t>
  </si>
  <si>
    <t xml:space="preserve">Genita,Alliah Jean</t>
  </si>
  <si>
    <t xml:space="preserve">900069983</t>
  </si>
  <si>
    <t xml:space="preserve">Sy,John Carlo</t>
  </si>
  <si>
    <t xml:space="preserve">900070015</t>
  </si>
  <si>
    <t xml:space="preserve">Aballe,Mikaila</t>
  </si>
  <si>
    <t xml:space="preserve">900071468</t>
  </si>
  <si>
    <t xml:space="preserve">Gallego,Catheleya Kaye</t>
  </si>
  <si>
    <t xml:space="preserve">900076899</t>
  </si>
  <si>
    <t xml:space="preserve">Dejan,Fritzie Blair</t>
  </si>
  <si>
    <t xml:space="preserve">900081102</t>
  </si>
  <si>
    <t xml:space="preserve">Nebria,Jan Airben</t>
  </si>
  <si>
    <t xml:space="preserve">900098937</t>
  </si>
  <si>
    <t xml:space="preserve">Minoza,Mary Joy</t>
  </si>
  <si>
    <t xml:space="preserve">900124167</t>
  </si>
  <si>
    <t xml:space="preserve">Cabahug,Mie</t>
  </si>
  <si>
    <t xml:space="preserve">900124174</t>
  </si>
  <si>
    <t xml:space="preserve">Torres Jr,Alfredo</t>
  </si>
  <si>
    <t xml:space="preserve">900124176</t>
  </si>
  <si>
    <t xml:space="preserve">Etic,Geraldine</t>
  </si>
  <si>
    <t xml:space="preserve">900124233</t>
  </si>
  <si>
    <t xml:space="preserve">Intong,Kemberly</t>
  </si>
  <si>
    <t xml:space="preserve">900125001</t>
  </si>
  <si>
    <t xml:space="preserve">Cujardo,Jack Rovien</t>
  </si>
  <si>
    <t xml:space="preserve">900125111</t>
  </si>
  <si>
    <t xml:space="preserve">🔍  EARLY WARNING SIGNS TRACKER  —  KHYNO ELIMANCO CORTEZ</t>
  </si>
  <si>
    <t xml:space="preserve">Macalos,Mae Ann Guita</t>
  </si>
  <si>
    <t xml:space="preserve">1300633</t>
  </si>
  <si>
    <t xml:space="preserve">Archival,Christine Gabasa</t>
  </si>
  <si>
    <t xml:space="preserve">1522573</t>
  </si>
  <si>
    <t xml:space="preserve">Matias,Alberto Lasola</t>
  </si>
  <si>
    <t xml:space="preserve">1922524</t>
  </si>
  <si>
    <t xml:space="preserve">Relon,Gazel De Guzman</t>
  </si>
  <si>
    <t xml:space="preserve">2122650</t>
  </si>
  <si>
    <t xml:space="preserve">Labro,Dester Alei Bandojo</t>
  </si>
  <si>
    <t xml:space="preserve">2133443</t>
  </si>
  <si>
    <t xml:space="preserve">Cataluna,Casciusclay Gigawin</t>
  </si>
  <si>
    <t xml:space="preserve">2258010</t>
  </si>
  <si>
    <t xml:space="preserve">Abantao,Julius Queno</t>
  </si>
  <si>
    <t xml:space="preserve">2258045</t>
  </si>
  <si>
    <t xml:space="preserve">Alva,Daphnie Joy Ferrer</t>
  </si>
  <si>
    <t xml:space="preserve">2258531</t>
  </si>
  <si>
    <t xml:space="preserve">Jamoos,Anisah Syquimsiam</t>
  </si>
  <si>
    <t xml:space="preserve">2259996</t>
  </si>
  <si>
    <t xml:space="preserve">Zulueta,Juan Miguel Golpirica</t>
  </si>
  <si>
    <t xml:space="preserve">2260126</t>
  </si>
  <si>
    <t xml:space="preserve">Cubillas,Chenne Biazon</t>
  </si>
  <si>
    <t xml:space="preserve">2260189</t>
  </si>
  <si>
    <t xml:space="preserve">Torlao,Maria Rowena</t>
  </si>
  <si>
    <t xml:space="preserve">2260209</t>
  </si>
  <si>
    <t xml:space="preserve">Lumabao,Rein Amyl Montanez</t>
  </si>
  <si>
    <t xml:space="preserve">2262576</t>
  </si>
  <si>
    <t xml:space="preserve">Tolentino,Christopher Pronuevo</t>
  </si>
  <si>
    <t xml:space="preserve">2283408</t>
  </si>
  <si>
    <t xml:space="preserve">Fraga,Raynald</t>
  </si>
  <si>
    <t xml:space="preserve">900027578</t>
  </si>
  <si>
    <t xml:space="preserve">Mercado,Shyrha Gahisan</t>
  </si>
  <si>
    <t xml:space="preserve">900033115</t>
  </si>
  <si>
    <t xml:space="preserve">Laudato,Genelyn</t>
  </si>
  <si>
    <t xml:space="preserve">900061450</t>
  </si>
  <si>
    <t xml:space="preserve">Mula,Romelle Jean</t>
  </si>
  <si>
    <t xml:space="preserve">900081781</t>
  </si>
  <si>
    <t xml:space="preserve">Gutierrez,Eloisa Mae</t>
  </si>
  <si>
    <t xml:space="preserve">900091887</t>
  </si>
  <si>
    <t xml:space="preserve">🔍  EARLY WARNING SIGNS TRACKER  —  KRISTEL ANGELICA VALERIO</t>
  </si>
  <si>
    <t xml:space="preserve">Mariano,Maria Bernadette Policarpio</t>
  </si>
  <si>
    <t xml:space="preserve">1035894</t>
  </si>
  <si>
    <t xml:space="preserve">Tenio,Crispina Villanueva</t>
  </si>
  <si>
    <t xml:space="preserve">1172236</t>
  </si>
  <si>
    <t xml:space="preserve">Hadjerel,Shalimar Aira</t>
  </si>
  <si>
    <t xml:space="preserve">1920081</t>
  </si>
  <si>
    <t xml:space="preserve">Albes,Jack Lloyd Enano</t>
  </si>
  <si>
    <t xml:space="preserve">2160740</t>
  </si>
  <si>
    <t xml:space="preserve">Lumalang,Nadine May Guevarra</t>
  </si>
  <si>
    <t xml:space="preserve">2260206</t>
  </si>
  <si>
    <t xml:space="preserve">Ganalongo,Maressa</t>
  </si>
  <si>
    <t xml:space="preserve">900065185</t>
  </si>
  <si>
    <t xml:space="preserve">Nituda,John Lord</t>
  </si>
  <si>
    <t xml:space="preserve">900068383</t>
  </si>
  <si>
    <t xml:space="preserve">Anisco,Angel Jezzamine</t>
  </si>
  <si>
    <t xml:space="preserve">900087929</t>
  </si>
  <si>
    <t xml:space="preserve">Descalso,Regine</t>
  </si>
  <si>
    <t xml:space="preserve">900088012</t>
  </si>
  <si>
    <t xml:space="preserve">Sotto,Jecca Anne</t>
  </si>
  <si>
    <t xml:space="preserve">900108923</t>
  </si>
  <si>
    <t xml:space="preserve">Medida,Howard</t>
  </si>
  <si>
    <t xml:space="preserve">900110655</t>
  </si>
  <si>
    <t xml:space="preserve">🔍  EARLY WARNING SIGNS TRACKER  —  LEA IBAG FERNANDEZ</t>
  </si>
  <si>
    <t xml:space="preserve">Brigoli,Charisse Mae De La Cruz</t>
  </si>
  <si>
    <t xml:space="preserve">1172374</t>
  </si>
  <si>
    <t xml:space="preserve">Tocmo,Reina Jae Llude Muring</t>
  </si>
  <si>
    <t xml:space="preserve">1300647</t>
  </si>
  <si>
    <t xml:space="preserve">Zamora,Joanna Marie Poncardas</t>
  </si>
  <si>
    <t xml:space="preserve">1405057</t>
  </si>
  <si>
    <t xml:space="preserve">Rellona,Rosemarie Abejuela</t>
  </si>
  <si>
    <t xml:space="preserve">1517351</t>
  </si>
  <si>
    <t xml:space="preserve">Vergara,Mary Crystal Quirante</t>
  </si>
  <si>
    <t xml:space="preserve">1610140</t>
  </si>
  <si>
    <t xml:space="preserve">Catubig,Cyris Marie Regidor</t>
  </si>
  <si>
    <t xml:space="preserve">1623038</t>
  </si>
  <si>
    <t xml:space="preserve">Cahokson,Lady  Flor Bargamento</t>
  </si>
  <si>
    <t xml:space="preserve">1676434</t>
  </si>
  <si>
    <t xml:space="preserve">Sulinay,Michelle Bajilar</t>
  </si>
  <si>
    <t xml:space="preserve">1748627</t>
  </si>
  <si>
    <t xml:space="preserve">Cariquitan,Jennifer Rivera</t>
  </si>
  <si>
    <t xml:space="preserve">1919795</t>
  </si>
  <si>
    <t xml:space="preserve">Vega,Mark Anthony Ardiente</t>
  </si>
  <si>
    <t xml:space="preserve">1920223</t>
  </si>
  <si>
    <t xml:space="preserve">Candelanza,Janeth Placido</t>
  </si>
  <si>
    <t xml:space="preserve">1957874</t>
  </si>
  <si>
    <t xml:space="preserve">Sasing,Stella Maris</t>
  </si>
  <si>
    <t xml:space="preserve">1958201</t>
  </si>
  <si>
    <t xml:space="preserve">Canete,Kathleen Pableo</t>
  </si>
  <si>
    <t xml:space="preserve">2108364</t>
  </si>
  <si>
    <t xml:space="preserve">Villacampo,Jennisa Buhia</t>
  </si>
  <si>
    <t xml:space="preserve">2125332</t>
  </si>
  <si>
    <t xml:space="preserve">Golo,Maria Carissa Masong</t>
  </si>
  <si>
    <t xml:space="preserve">2148245</t>
  </si>
  <si>
    <t xml:space="preserve">Avestano,Vanesa Barredo</t>
  </si>
  <si>
    <t xml:space="preserve">2236030</t>
  </si>
  <si>
    <t xml:space="preserve">Ochavo,Shane Steivy</t>
  </si>
  <si>
    <t xml:space="preserve">900069891</t>
  </si>
  <si>
    <t xml:space="preserve">Dizon,Veronica Lourdes Antonette</t>
  </si>
  <si>
    <t xml:space="preserve">900069895</t>
  </si>
  <si>
    <t xml:space="preserve">Altarejos,Christal</t>
  </si>
  <si>
    <t xml:space="preserve">900069974</t>
  </si>
  <si>
    <t xml:space="preserve">Lanza,Erika</t>
  </si>
  <si>
    <t xml:space="preserve">900070003</t>
  </si>
  <si>
    <t xml:space="preserve">🔍  EARLY WARNING SIGNS TRACKER  —  LEAH BERNADETTE LAVALLE BRINGAS</t>
  </si>
  <si>
    <t xml:space="preserve">Balinong,Vennesa Lachica</t>
  </si>
  <si>
    <t xml:space="preserve">1928595</t>
  </si>
  <si>
    <t xml:space="preserve">Pacena,Alberto Rivera</t>
  </si>
  <si>
    <t xml:space="preserve">1928630</t>
  </si>
  <si>
    <t xml:space="preserve">Castro,Maricris Eunice Fernandez</t>
  </si>
  <si>
    <t xml:space="preserve">1929560</t>
  </si>
  <si>
    <t xml:space="preserve">Barber,Jovielyn Parulan</t>
  </si>
  <si>
    <t xml:space="preserve">1929580</t>
  </si>
  <si>
    <t xml:space="preserve">Catubigan,Carmelita Cageta</t>
  </si>
  <si>
    <t xml:space="preserve">1959866</t>
  </si>
  <si>
    <t xml:space="preserve">Camua,Elijah Roi Enriquez</t>
  </si>
  <si>
    <t xml:space="preserve">1959872</t>
  </si>
  <si>
    <t xml:space="preserve">Padua,Lanie Lentija</t>
  </si>
  <si>
    <t xml:space="preserve">2122475</t>
  </si>
  <si>
    <t xml:space="preserve">Bogayao,Anjie Valzado</t>
  </si>
  <si>
    <t xml:space="preserve">2133438</t>
  </si>
  <si>
    <t xml:space="preserve">Meteoro,Emily Doctor</t>
  </si>
  <si>
    <t xml:space="preserve">2133816</t>
  </si>
  <si>
    <t xml:space="preserve">Ribo,Josepha Minel Teves</t>
  </si>
  <si>
    <t xml:space="preserve">2243195</t>
  </si>
  <si>
    <t xml:space="preserve">Manuel,Aldrin Nugas</t>
  </si>
  <si>
    <t xml:space="preserve">2247380</t>
  </si>
  <si>
    <t xml:space="preserve">Austria,Effie Galang</t>
  </si>
  <si>
    <t xml:space="preserve">2280878</t>
  </si>
  <si>
    <t xml:space="preserve">Corpuz,Jem Nicole Escabel</t>
  </si>
  <si>
    <t xml:space="preserve">2280893</t>
  </si>
  <si>
    <t xml:space="preserve">Roces,Diana Abia</t>
  </si>
  <si>
    <t xml:space="preserve">2281997</t>
  </si>
  <si>
    <t xml:space="preserve">Pecson,Warren Dela Cruz</t>
  </si>
  <si>
    <t xml:space="preserve">2282037</t>
  </si>
  <si>
    <t xml:space="preserve">Bonifacio,Melanie Gadia</t>
  </si>
  <si>
    <t xml:space="preserve">2284243</t>
  </si>
  <si>
    <t xml:space="preserve">🔍  EARLY WARNING SIGNS TRACKER  —  LEE STEPHEN VALDE FAT</t>
  </si>
  <si>
    <t xml:space="preserve">Santos,Robert Castillo</t>
  </si>
  <si>
    <t xml:space="preserve">1026458</t>
  </si>
  <si>
    <t xml:space="preserve">Carrascal,Marica</t>
  </si>
  <si>
    <t xml:space="preserve">1957875</t>
  </si>
  <si>
    <t xml:space="preserve">🔍  EARLY WARNING SIGNS TRACKER  —  LEOU ALVEN NARITO COMENDADOR</t>
  </si>
  <si>
    <t xml:space="preserve">Paurillo,Rinagine Landiza</t>
  </si>
  <si>
    <t xml:space="preserve">1236900</t>
  </si>
  <si>
    <t xml:space="preserve">Sacurom,Lovely Mae Enot</t>
  </si>
  <si>
    <t xml:space="preserve">1943135</t>
  </si>
  <si>
    <t xml:space="preserve">Sabando,Jave Astrid Rosario</t>
  </si>
  <si>
    <t xml:space="preserve">2125341</t>
  </si>
  <si>
    <t xml:space="preserve">🔍  EARLY WARNING SIGNS TRACKER  —  LOVELY MAE ENOT SACUROM</t>
  </si>
  <si>
    <t xml:space="preserve">Barte,Camille Therese Raagas</t>
  </si>
  <si>
    <t xml:space="preserve">1245182</t>
  </si>
  <si>
    <t xml:space="preserve">Bacalso,Mark Kenneth Solon</t>
  </si>
  <si>
    <t xml:space="preserve">1256373</t>
  </si>
  <si>
    <t xml:space="preserve">Omayan,Danica Carpentero</t>
  </si>
  <si>
    <t xml:space="preserve">1747959</t>
  </si>
  <si>
    <t xml:space="preserve">Rodriguez,Venice Mae Mahipus</t>
  </si>
  <si>
    <t xml:space="preserve">1747968</t>
  </si>
  <si>
    <t xml:space="preserve">Bontuyan,Reynald Villarino</t>
  </si>
  <si>
    <t xml:space="preserve">1918906</t>
  </si>
  <si>
    <t xml:space="preserve">Derama,Gyd Jasmin Ragot</t>
  </si>
  <si>
    <t xml:space="preserve">1931814</t>
  </si>
  <si>
    <t xml:space="preserve">Rafael,Angeline Baculinao</t>
  </si>
  <si>
    <t xml:space="preserve">2119295</t>
  </si>
  <si>
    <t xml:space="preserve">Toremotcha,Ciara Dane Baring</t>
  </si>
  <si>
    <t xml:space="preserve">2119317</t>
  </si>
  <si>
    <t xml:space="preserve">Congcong,Christian Faye Papas</t>
  </si>
  <si>
    <t xml:space="preserve">2119338</t>
  </si>
  <si>
    <t xml:space="preserve">Tinghil,Charlyn Salin</t>
  </si>
  <si>
    <t xml:space="preserve">2119340</t>
  </si>
  <si>
    <t xml:space="preserve">Perdiguez,Trisha Mae Monzolin</t>
  </si>
  <si>
    <t xml:space="preserve">2120767</t>
  </si>
  <si>
    <t xml:space="preserve">Publico,Ma Rica Pat</t>
  </si>
  <si>
    <t xml:space="preserve">2125333</t>
  </si>
  <si>
    <t xml:space="preserve">Faciol,Felicity Dawn Jabonite</t>
  </si>
  <si>
    <t xml:space="preserve">2254043</t>
  </si>
  <si>
    <t xml:space="preserve">Mendoza,Clifford Yutis</t>
  </si>
  <si>
    <t xml:space="preserve">2254047</t>
  </si>
  <si>
    <t xml:space="preserve">Revecoy,Michael Probitso</t>
  </si>
  <si>
    <t xml:space="preserve">2258591</t>
  </si>
  <si>
    <t xml:space="preserve">Salundaguit,Debbie Jane  Cortes</t>
  </si>
  <si>
    <t xml:space="preserve">900040079</t>
  </si>
  <si>
    <t xml:space="preserve">Villaflor,June Patrick</t>
  </si>
  <si>
    <t xml:space="preserve">900064343</t>
  </si>
  <si>
    <t xml:space="preserve">Mabulay,Bernie Marie</t>
  </si>
  <si>
    <t xml:space="preserve">900096798</t>
  </si>
  <si>
    <t xml:space="preserve">Camargo,Nikko Zyro</t>
  </si>
  <si>
    <t xml:space="preserve">900098947</t>
  </si>
  <si>
    <t xml:space="preserve">🔍  EARLY WARNING SIGNS TRACKER  —  LUIS JOEL TRAVERSO RODRIGUEZ</t>
  </si>
  <si>
    <t xml:space="preserve">Rodriguez,Aida Marie</t>
  </si>
  <si>
    <t xml:space="preserve">1432267</t>
  </si>
  <si>
    <t xml:space="preserve">Laboy- Lebron,Hector Ramiro</t>
  </si>
  <si>
    <t xml:space="preserve">1439420</t>
  </si>
  <si>
    <t xml:space="preserve">Burgos-Rivera,Jennifer N</t>
  </si>
  <si>
    <t xml:space="preserve">1450906</t>
  </si>
  <si>
    <t xml:space="preserve">Rodriguez,Osmari</t>
  </si>
  <si>
    <t xml:space="preserve">1526201</t>
  </si>
  <si>
    <t xml:space="preserve">🔍  EARLY WARNING SIGNS TRACKER  —  MA ALLEAH DE TORRES SANTOS</t>
  </si>
  <si>
    <t xml:space="preserve">Mansibang,Jeric Amazona</t>
  </si>
  <si>
    <t xml:space="preserve">1031095</t>
  </si>
  <si>
    <t xml:space="preserve">Malay,Edrian Credo</t>
  </si>
  <si>
    <t xml:space="preserve">1256948</t>
  </si>
  <si>
    <t xml:space="preserve">Dela Cruz,Mistica</t>
  </si>
  <si>
    <t xml:space="preserve">1674148</t>
  </si>
  <si>
    <t xml:space="preserve">Valerio,Kristel Angelica</t>
  </si>
  <si>
    <t xml:space="preserve">1918853</t>
  </si>
  <si>
    <t xml:space="preserve">🔍  EARLY WARNING SIGNS TRACKER  —  MARIA THERESA OLIVA VALENCIANO RAMOS</t>
  </si>
  <si>
    <t xml:space="preserve">Misayah,Rosauro Gabo</t>
  </si>
  <si>
    <t xml:space="preserve">1253363</t>
  </si>
  <si>
    <t xml:space="preserve">Traverso Rodriguez,Luis Joel</t>
  </si>
  <si>
    <t xml:space="preserve">1441341</t>
  </si>
  <si>
    <t xml:space="preserve">Almazan,Cathreen Aizha Ria</t>
  </si>
  <si>
    <t xml:space="preserve">1884556</t>
  </si>
  <si>
    <t xml:space="preserve">🔍  EARLY WARNING SIGNS TRACKER  —  MISTICA DELA CRUZ</t>
  </si>
  <si>
    <t xml:space="preserve">Arro,Xylene Rose Arroyo</t>
  </si>
  <si>
    <t xml:space="preserve">1014237</t>
  </si>
  <si>
    <t xml:space="preserve">Domingo,Senna Lara Ramirez</t>
  </si>
  <si>
    <t xml:space="preserve">1524032</t>
  </si>
  <si>
    <t xml:space="preserve">Baldoza,Ronalyn</t>
  </si>
  <si>
    <t xml:space="preserve">1918993</t>
  </si>
  <si>
    <t xml:space="preserve">Umali,Jeffry Talampas</t>
  </si>
  <si>
    <t xml:space="preserve">2120771</t>
  </si>
  <si>
    <t xml:space="preserve">Macalma,Elmar John Jazmin</t>
  </si>
  <si>
    <t xml:space="preserve">2120785</t>
  </si>
  <si>
    <t xml:space="preserve">Palad,Inah Kirshtine Bernabe</t>
  </si>
  <si>
    <t xml:space="preserve">2162683</t>
  </si>
  <si>
    <t xml:space="preserve">Ramos,Chester Irvin Bautista</t>
  </si>
  <si>
    <t xml:space="preserve">2258011</t>
  </si>
  <si>
    <t xml:space="preserve">Yodico,Jobert Tercio</t>
  </si>
  <si>
    <t xml:space="preserve">2258568</t>
  </si>
  <si>
    <t xml:space="preserve">Tabita,Czarina Manuel</t>
  </si>
  <si>
    <t xml:space="preserve">2280853</t>
  </si>
  <si>
    <t xml:space="preserve">Ramos,Ruth Marionne Dalut</t>
  </si>
  <si>
    <t xml:space="preserve">2282129</t>
  </si>
  <si>
    <t xml:space="preserve">Adriano,Anthony Floresca</t>
  </si>
  <si>
    <t xml:space="preserve">2282142</t>
  </si>
  <si>
    <t xml:space="preserve">Encabo,Josephine Fegarido</t>
  </si>
  <si>
    <t xml:space="preserve">900038589</t>
  </si>
  <si>
    <t xml:space="preserve">Telan,Bryan</t>
  </si>
  <si>
    <t xml:space="preserve">900061452</t>
  </si>
  <si>
    <t xml:space="preserve">Jaso-Jaso,Mark Joseph</t>
  </si>
  <si>
    <t xml:space="preserve">900079648</t>
  </si>
  <si>
    <t xml:space="preserve">Oseo,Jonalyn</t>
  </si>
  <si>
    <t xml:space="preserve">900081108</t>
  </si>
  <si>
    <t xml:space="preserve">Anora,Ginalyn</t>
  </si>
  <si>
    <t xml:space="preserve">900087916</t>
  </si>
  <si>
    <t xml:space="preserve">Millora,Carlo Iniego</t>
  </si>
  <si>
    <t xml:space="preserve">900087945</t>
  </si>
  <si>
    <t xml:space="preserve">Balaga,Margarita</t>
  </si>
  <si>
    <t xml:space="preserve">900088036</t>
  </si>
  <si>
    <t xml:space="preserve">🔍  EARLY WARNING SIGNS TRACKER  —  OSMARI RODRIGUEZ</t>
  </si>
  <si>
    <t xml:space="preserve">Burgos,Arlene Natalia</t>
  </si>
  <si>
    <t xml:space="preserve">1439443</t>
  </si>
  <si>
    <t xml:space="preserve">Merced- Figueroa,Yanira</t>
  </si>
  <si>
    <t xml:space="preserve">1441049</t>
  </si>
  <si>
    <t xml:space="preserve">Puello,Jennipher</t>
  </si>
  <si>
    <t xml:space="preserve">1451378</t>
  </si>
  <si>
    <t xml:space="preserve">Ortiz Rodriguez,Joel M</t>
  </si>
  <si>
    <t xml:space="preserve">1451820</t>
  </si>
  <si>
    <t xml:space="preserve">Rivera-Ramos,Analisa</t>
  </si>
  <si>
    <t xml:space="preserve">1457804</t>
  </si>
  <si>
    <t xml:space="preserve">Aviles-Rodriguez,Jose</t>
  </si>
  <si>
    <t xml:space="preserve">1459142</t>
  </si>
  <si>
    <t xml:space="preserve">Burgos Gomez,Yazlyn Carmen</t>
  </si>
  <si>
    <t xml:space="preserve">1490965</t>
  </si>
  <si>
    <t xml:space="preserve">Delgado Lopez,Deborah Marie</t>
  </si>
  <si>
    <t xml:space="preserve">1491338</t>
  </si>
  <si>
    <t xml:space="preserve">De Jesus Baez,Dimarys</t>
  </si>
  <si>
    <t xml:space="preserve">1512026</t>
  </si>
  <si>
    <t xml:space="preserve">Del Valle,Cesar Antonio</t>
  </si>
  <si>
    <t xml:space="preserve">1514605</t>
  </si>
  <si>
    <t xml:space="preserve">Herrera Mercedes,Leurys C</t>
  </si>
  <si>
    <t xml:space="preserve">1515058</t>
  </si>
  <si>
    <t xml:space="preserve">Colon Garcia,Paulita Janice</t>
  </si>
  <si>
    <t xml:space="preserve">1516707</t>
  </si>
  <si>
    <t xml:space="preserve">Hernandez,Karolina</t>
  </si>
  <si>
    <t xml:space="preserve">1623515</t>
  </si>
  <si>
    <t xml:space="preserve">🔍  EARLY WARNING SIGNS TRACKER  —  PAOLO CABANTOG DACANAY</t>
  </si>
  <si>
    <t xml:space="preserve">Cortez,Khyno Elimanco</t>
  </si>
  <si>
    <t xml:space="preserve">1251523</t>
  </si>
  <si>
    <t xml:space="preserve">Bonocan,Johnny Rey Diaz</t>
  </si>
  <si>
    <t xml:space="preserve">1395790</t>
  </si>
  <si>
    <t xml:space="preserve">Dela Cruz,Alyana Marie Jose</t>
  </si>
  <si>
    <t xml:space="preserve">1918874</t>
  </si>
  <si>
    <t xml:space="preserve">Rudio,Desiree Granpil</t>
  </si>
  <si>
    <t xml:space="preserve">1920146</t>
  </si>
  <si>
    <t xml:space="preserve">🔍  EARLY WARNING SIGNS TRACKER  —  RINAGINE LANDIZA PAURILLO</t>
  </si>
  <si>
    <t xml:space="preserve">Gimenez,Ronald Vicente Mangubat</t>
  </si>
  <si>
    <t xml:space="preserve">1092213</t>
  </si>
  <si>
    <t xml:space="preserve">Bompat,Bevvy Caryl Sijuela</t>
  </si>
  <si>
    <t xml:space="preserve">1256565</t>
  </si>
  <si>
    <t xml:space="preserve">Alburo,Johan Christian</t>
  </si>
  <si>
    <t xml:space="preserve">1486512</t>
  </si>
  <si>
    <t xml:space="preserve">Alipoyo,Dalilah Santiago</t>
  </si>
  <si>
    <t xml:space="preserve">1627435</t>
  </si>
  <si>
    <t xml:space="preserve">Meca,Jinky Mansueto</t>
  </si>
  <si>
    <t xml:space="preserve">1736192</t>
  </si>
  <si>
    <t xml:space="preserve">Ventic,Sheena Marie Santisas</t>
  </si>
  <si>
    <t xml:space="preserve">1742964</t>
  </si>
  <si>
    <t xml:space="preserve">Ornopia,Bandam Bebs Sinogbuhan</t>
  </si>
  <si>
    <t xml:space="preserve">1920221</t>
  </si>
  <si>
    <t xml:space="preserve">Navarro,Jamaica Mari Debil</t>
  </si>
  <si>
    <t xml:space="preserve">2108440</t>
  </si>
  <si>
    <t xml:space="preserve">Gabutin,Marie Fel Borja</t>
  </si>
  <si>
    <t xml:space="preserve">2109649</t>
  </si>
  <si>
    <t xml:space="preserve">Mesa,Darril Borres</t>
  </si>
  <si>
    <t xml:space="preserve">2147971</t>
  </si>
  <si>
    <t xml:space="preserve">Cahoy,Ralph Basilio</t>
  </si>
  <si>
    <t xml:space="preserve">2243261</t>
  </si>
  <si>
    <t xml:space="preserve">Pepito,Chris Nino Bataclan</t>
  </si>
  <si>
    <t xml:space="preserve">2244263</t>
  </si>
  <si>
    <t xml:space="preserve">Tabanas,Kirby Tañez</t>
  </si>
  <si>
    <t xml:space="preserve">2260223</t>
  </si>
  <si>
    <t xml:space="preserve">Bongat,Danielle Renz</t>
  </si>
  <si>
    <t xml:space="preserve">900061492</t>
  </si>
  <si>
    <t xml:space="preserve">Carvajal,Ranjehl</t>
  </si>
  <si>
    <t xml:space="preserve">900070018</t>
  </si>
  <si>
    <t xml:space="preserve">Tero,Carlo</t>
  </si>
  <si>
    <t xml:space="preserve">900087431</t>
  </si>
  <si>
    <t xml:space="preserve">Tayao,Rizalyn</t>
  </si>
  <si>
    <t xml:space="preserve">900087484</t>
  </si>
  <si>
    <t xml:space="preserve">Densing,John Ashley</t>
  </si>
  <si>
    <t xml:space="preserve">900098960</t>
  </si>
  <si>
    <t xml:space="preserve">🔍  EARLY WARNING SIGNS TRACKER  —  ROBERT CASTILLO SANTOS</t>
  </si>
  <si>
    <t xml:space="preserve">Barcelona,Arjay Regil</t>
  </si>
  <si>
    <t xml:space="preserve">1025337</t>
  </si>
  <si>
    <t xml:space="preserve">Furiscal,Danica Villano</t>
  </si>
  <si>
    <t xml:space="preserve">1091719</t>
  </si>
  <si>
    <t xml:space="preserve">Larracas,Jean Paul Raymundo</t>
  </si>
  <si>
    <t xml:space="preserve">1136433</t>
  </si>
  <si>
    <t xml:space="preserve">Martinez,Chrisel Lingat</t>
  </si>
  <si>
    <t xml:space="preserve">1183755</t>
  </si>
  <si>
    <t xml:space="preserve">Golino,Roselle Marie Buenaventura</t>
  </si>
  <si>
    <t xml:space="preserve">1183771</t>
  </si>
  <si>
    <t xml:space="preserve">Sulit,Deserie Bumanglag</t>
  </si>
  <si>
    <t xml:space="preserve">1226815</t>
  </si>
  <si>
    <t xml:space="preserve">Alvarez,Revo Adrian Carl</t>
  </si>
  <si>
    <t xml:space="preserve">1927789</t>
  </si>
  <si>
    <t xml:space="preserve">Purpora,Daryl Barbado</t>
  </si>
  <si>
    <t xml:space="preserve">1940963</t>
  </si>
  <si>
    <t xml:space="preserve">Malan,Majben Joy</t>
  </si>
  <si>
    <t xml:space="preserve">900061466</t>
  </si>
  <si>
    <t xml:space="preserve">Cenizal Jr,John Reynaldo</t>
  </si>
  <si>
    <t xml:space="preserve">900061471</t>
  </si>
  <si>
    <t xml:space="preserve">Santelices,Mary Rose</t>
  </si>
  <si>
    <t xml:space="preserve">900061479</t>
  </si>
  <si>
    <t xml:space="preserve">Lumibao,Renelou</t>
  </si>
  <si>
    <t xml:space="preserve">900062098</t>
  </si>
  <si>
    <t xml:space="preserve">Sultan Alim,Alrafh</t>
  </si>
  <si>
    <t xml:space="preserve">900087474</t>
  </si>
  <si>
    <t xml:space="preserve">Marcos,Jamervson</t>
  </si>
  <si>
    <t xml:space="preserve">900088006</t>
  </si>
  <si>
    <t xml:space="preserve">Burton,Lawrence</t>
  </si>
  <si>
    <t xml:space="preserve">900088231</t>
  </si>
  <si>
    <t xml:space="preserve">🔍  EARLY WARNING SIGNS TRACKER  —  ROSAURO GABO MISAYAH</t>
  </si>
  <si>
    <t xml:space="preserve">Corrales,Donabel Sabado</t>
  </si>
  <si>
    <t xml:space="preserve">1171295</t>
  </si>
  <si>
    <t xml:space="preserve">Santos,Ma Alleah De Torres</t>
  </si>
  <si>
    <t xml:space="preserve">1913076</t>
  </si>
  <si>
    <t xml:space="preserve">Lagare,John Earl Melitado</t>
  </si>
  <si>
    <t xml:space="preserve">1991437</t>
  </si>
  <si>
    <t xml:space="preserve">Cuartero,Charlie Jr De Asis</t>
  </si>
  <si>
    <t xml:space="preserve">2296905</t>
  </si>
  <si>
    <t xml:space="preserve">🔍  EARLY WARNING SIGNS TRACKER  —  SHEENA ESTORBA LUCRESIA</t>
  </si>
  <si>
    <t xml:space="preserve">Ogaro,Lilian Labay</t>
  </si>
  <si>
    <t xml:space="preserve">1738038</t>
  </si>
  <si>
    <t xml:space="preserve">Paquibot,Jennilan</t>
  </si>
  <si>
    <t xml:space="preserve">1772386</t>
  </si>
  <si>
    <t xml:space="preserve">Enriquez,Liduvina Cuario</t>
  </si>
  <si>
    <t xml:space="preserve">1772425</t>
  </si>
  <si>
    <t xml:space="preserve">Caballes,Aiahna Kirsten</t>
  </si>
  <si>
    <t xml:space="preserve">1789785</t>
  </si>
  <si>
    <t xml:space="preserve">Maglinte,Janus Joy Dei Turimutsa</t>
  </si>
  <si>
    <t xml:space="preserve">1834966</t>
  </si>
  <si>
    <t xml:space="preserve">Avila,Mary Mae Mabini</t>
  </si>
  <si>
    <t xml:space="preserve">1836840</t>
  </si>
  <si>
    <t xml:space="preserve">Anasco,Charity Martinez</t>
  </si>
  <si>
    <t xml:space="preserve">1839962</t>
  </si>
  <si>
    <t xml:space="preserve">Bulalaque,Shermagne Alyza Del Rosario</t>
  </si>
  <si>
    <t xml:space="preserve">1928599</t>
  </si>
  <si>
    <t xml:space="preserve">Nellas,Sofia Anne Marie</t>
  </si>
  <si>
    <t xml:space="preserve">1928617</t>
  </si>
  <si>
    <t xml:space="preserve">Quijano,Reggie Giaco</t>
  </si>
  <si>
    <t xml:space="preserve">1932050</t>
  </si>
  <si>
    <t xml:space="preserve">Pigar,Danna Dorothy Epe</t>
  </si>
  <si>
    <t xml:space="preserve">1939497</t>
  </si>
  <si>
    <t xml:space="preserve">Salvedia,Roselyn Bulacja</t>
  </si>
  <si>
    <t xml:space="preserve">1949865</t>
  </si>
  <si>
    <t xml:space="preserve">Garay,Cezannelle</t>
  </si>
  <si>
    <t xml:space="preserve">1957088</t>
  </si>
  <si>
    <t xml:space="preserve">Bullanday,Reynan Pancho</t>
  </si>
  <si>
    <t xml:space="preserve">2147983</t>
  </si>
  <si>
    <t xml:space="preserve">Ubas,Jubeth Kay Delica</t>
  </si>
  <si>
    <t xml:space="preserve">2148190</t>
  </si>
  <si>
    <t xml:space="preserve">De La Cerna,Maria Dalisay Sanosa</t>
  </si>
  <si>
    <t xml:space="preserve">2148269</t>
  </si>
  <si>
    <t xml:space="preserve">Villanueva,Joshua Benedict Araco</t>
  </si>
  <si>
    <t xml:space="preserve">2148792</t>
  </si>
  <si>
    <t xml:space="preserve">Seri,Maria Carmina Inoc</t>
  </si>
  <si>
    <t xml:space="preserve">2148837</t>
  </si>
  <si>
    <t xml:space="preserve">Alerta,Michael Arriesgado</t>
  </si>
  <si>
    <t xml:space="preserve">2148844</t>
  </si>
  <si>
    <t xml:space="preserve">🔍  EARLY WARNING SIGNS TRACKER  —  VICTOR JR CABRILES FUENTENEGRA</t>
  </si>
  <si>
    <t xml:space="preserve">Villaflor,Paul Michael Suico</t>
  </si>
  <si>
    <t xml:space="preserve">1255279</t>
  </si>
  <si>
    <t xml:space="preserve">Nunez,Jenny Dequiso</t>
  </si>
  <si>
    <t xml:space="preserve">1967487</t>
  </si>
  <si>
    <t xml:space="preserve">Motos,Erika Xanthia Mortejo</t>
  </si>
  <si>
    <t xml:space="preserve">2235981</t>
  </si>
  <si>
    <t xml:space="preserve">Basilgo,Rey Martin Impang</t>
  </si>
  <si>
    <t xml:space="preserve">2244612</t>
  </si>
  <si>
    <t xml:space="preserve">Revillas,Jhessa Bella</t>
  </si>
  <si>
    <t xml:space="preserve">900061477</t>
  </si>
  <si>
    <t xml:space="preserve">Julve,Rhena Maureen</t>
  </si>
  <si>
    <t xml:space="preserve">900062106</t>
  </si>
  <si>
    <t xml:space="preserve">Boldo,Dhevinson</t>
  </si>
  <si>
    <t xml:space="preserve">900062109</t>
  </si>
  <si>
    <t xml:space="preserve">Torregoza,Ma Bendel</t>
  </si>
  <si>
    <t xml:space="preserve">900062124</t>
  </si>
  <si>
    <t xml:space="preserve">Boljoran,Jomarie</t>
  </si>
  <si>
    <t xml:space="preserve">900069896</t>
  </si>
  <si>
    <t xml:space="preserve">Requina,Hazel Coleen</t>
  </si>
  <si>
    <t xml:space="preserve">900078897</t>
  </si>
  <si>
    <t xml:space="preserve">Talomia,Kyle Jeff</t>
  </si>
  <si>
    <t xml:space="preserve">900081103</t>
  </si>
  <si>
    <t xml:space="preserve">Rivera,Michael Eric</t>
  </si>
  <si>
    <t xml:space="preserve">900081779</t>
  </si>
  <si>
    <t xml:space="preserve">Talandron,Kristel</t>
  </si>
  <si>
    <t xml:space="preserve">900087489</t>
  </si>
  <si>
    <t xml:space="preserve">Seno,Beverly</t>
  </si>
  <si>
    <t xml:space="preserve">900091860</t>
  </si>
  <si>
    <t xml:space="preserve">Codina,Leah Shannen</t>
  </si>
  <si>
    <t xml:space="preserve">900098941</t>
  </si>
  <si>
    <t xml:space="preserve">Felisario,Georbel</t>
  </si>
  <si>
    <t xml:space="preserve">900124218</t>
  </si>
  <si>
    <t xml:space="preserve">Petielan,Anipah</t>
  </si>
  <si>
    <t xml:space="preserve">900124226</t>
  </si>
  <si>
    <t xml:space="preserve">Ceniza,Althea Ann</t>
  </si>
  <si>
    <t xml:space="preserve">900124235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</si>
</sst>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"/>
    <numFmt numFmtId="168" formatCode="mm/dd/yy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9A84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E7E1E"/>
      <name val="Calibri"/>
      <family val="0"/>
      <charset val="1"/>
    </font>
    <font>
      <b val="true"/>
      <sz val="10"/>
      <color rgb="FF856404"/>
      <name val="Calibri"/>
      <family val="0"/>
      <charset val="1"/>
    </font>
    <font>
      <b val="true"/>
      <sz val="10"/>
      <color rgb="FFB2222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1E7E1E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B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C9A84C"/>
      <name val="Arial"/>
      <family val="0"/>
      <charset val="1"/>
    </font>
    <font>
      <b val="true"/>
      <sz val="22"/>
      <color rgb="FF1E7E1E"/>
      <name val="Arial"/>
      <family val="0"/>
      <charset val="1"/>
    </font>
    <font>
      <b val="true"/>
      <sz val="22"/>
      <color rgb="FF856404"/>
      <name val="Arial"/>
      <family val="0"/>
      <charset val="1"/>
    </font>
    <font>
      <b val="true"/>
      <sz val="22"/>
      <color rgb="FFB22222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1B3A6B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0D1F3C"/>
      <name val="Calibri"/>
      <family val="0"/>
      <charset val="1"/>
    </font>
    <font>
      <sz val="10"/>
      <color rgb="FF0D1F3C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C9A84C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E7E1E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B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2E5090"/>
      </patternFill>
    </fill>
    <fill>
      <patternFill patternType="solid">
        <fgColor rgb="FF2E5090"/>
        <bgColor rgb="FF1B3A6B"/>
      </patternFill>
    </fill>
    <fill>
      <patternFill patternType="solid">
        <fgColor rgb="FFEEF2F8"/>
        <bgColor rgb="FFF0F4FA"/>
      </patternFill>
    </fill>
    <fill>
      <patternFill patternType="solid">
        <fgColor rgb="FFD6F5D6"/>
        <bgColor rgb="FFD6E4F0"/>
      </patternFill>
    </fill>
    <fill>
      <patternFill patternType="solid">
        <fgColor rgb="FFFFF3CC"/>
        <bgColor rgb="FFFDF3DC"/>
      </patternFill>
    </fill>
    <fill>
      <patternFill patternType="solid">
        <fgColor rgb="FFFFD6D6"/>
        <bgColor rgb="FFFDF3DC"/>
      </patternFill>
    </fill>
    <fill>
      <patternFill patternType="solid">
        <fgColor rgb="FF2D2D2D"/>
        <bgColor rgb="FF333300"/>
      </patternFill>
    </fill>
    <fill>
      <patternFill patternType="solid">
        <fgColor rgb="FFF5F8FD"/>
        <bgColor rgb="FFFAFCFF"/>
      </patternFill>
    </fill>
    <fill>
      <patternFill patternType="solid">
        <fgColor rgb="FFFDF3DC"/>
        <bgColor rgb="FFFFF3CC"/>
      </patternFill>
    </fill>
    <fill>
      <patternFill patternType="solid">
        <fgColor rgb="FF0D1F3C"/>
        <bgColor rgb="FF2D2D2D"/>
      </patternFill>
    </fill>
    <fill>
      <patternFill patternType="solid">
        <fgColor rgb="FFD6E4F0"/>
        <bgColor rgb="FFD6F5D6"/>
      </patternFill>
    </fill>
    <fill>
      <patternFill patternType="solid">
        <fgColor rgb="FFF0F4FA"/>
        <bgColor rgb="FFEEF2F8"/>
      </patternFill>
    </fill>
    <fill>
      <patternFill patternType="solid">
        <fgColor rgb="FFFFFFFF"/>
        <bgColor rgb="FFFAFCFF"/>
      </patternFill>
    </fill>
    <fill>
      <patternFill patternType="solid">
        <fgColor rgb="FFFAFCFF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C9A84C"/>
      </left>
      <right/>
      <top style="medium">
        <color rgb="FFC9A84C"/>
      </top>
      <bottom style="medium">
        <color rgb="FFC9A84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8C6D9"/>
      </left>
      <right style="thin">
        <color rgb="FFB8C6D9"/>
      </right>
      <top style="thin">
        <color rgb="FFB8C6D9"/>
      </top>
      <bottom style="thin">
        <color rgb="FFB8C6D9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9A84C"/>
      </left>
      <right/>
      <top style="thin">
        <color rgb="FFC9A84C"/>
      </top>
      <bottom style="thin">
        <color rgb="FFC9A84C"/>
      </bottom>
      <diagonal/>
    </border>
    <border diagonalUp="false" diagonalDown="false">
      <left/>
      <right/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C9A84C"/>
      </left>
      <right style="thin">
        <color rgb="FFC9A84C"/>
      </right>
      <top style="medium">
        <color rgb="FFC9A84C"/>
      </top>
      <bottom style="medium">
        <color rgb="FFC9A84C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5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9" fillId="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0" fillId="7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ont>
        <name val="Arial"/>
        <charset val="1"/>
        <family val="0"/>
        <b val="1"/>
        <color rgb="FF1E7E1E"/>
      </font>
      <fill>
        <patternFill>
          <bgColor rgb="FFD6F5D6"/>
        </patternFill>
      </fill>
    </dxf>
    <dxf>
      <font>
        <name val="Arial"/>
        <charset val="1"/>
        <family val="0"/>
        <b val="1"/>
        <color rgb="FF856404"/>
      </font>
      <fill>
        <patternFill>
          <bgColor rgb="FFFFF3CC"/>
        </patternFill>
      </fill>
    </dxf>
    <dxf>
      <font>
        <name val="Arial"/>
        <charset val="1"/>
        <family val="0"/>
        <b val="1"/>
        <color rgb="FFB22222"/>
      </font>
      <fill>
        <patternFill>
          <bgColor rgb="FFFFD6D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D2D2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E7E1E"/>
      <rgbColor rgb="FF000080"/>
      <rgbColor rgb="FF856404"/>
      <rgbColor rgb="FF800080"/>
      <rgbColor rgb="FF008080"/>
      <rgbColor rgb="FFB8C6D9"/>
      <rgbColor rgb="FF888888"/>
      <rgbColor rgb="FF9999FF"/>
      <rgbColor rgb="FF993366"/>
      <rgbColor rgb="FFFFF3CC"/>
      <rgbColor rgb="FFEEF2F8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D6F5D6"/>
      <rgbColor rgb="FFFDF3DC"/>
      <rgbColor rgb="FFD6E4F0"/>
      <rgbColor rgb="FFF5F8FD"/>
      <rgbColor rgb="FFFAFCFF"/>
      <rgbColor rgb="FFFFD6D6"/>
      <rgbColor rgb="FF3366FF"/>
      <rgbColor rgb="FF33CCCC"/>
      <rgbColor rgb="FF99CC00"/>
      <rgbColor rgb="FFFFCC00"/>
      <rgbColor rgb="FFC9A84C"/>
      <rgbColor rgb="FFFF6600"/>
      <rgbColor rgb="FF555555"/>
      <rgbColor rgb="FFB0B0B0"/>
      <rgbColor rgb="FF1B3A6B"/>
      <rgbColor rgb="FF339966"/>
      <rgbColor rgb="FF0D1F3C"/>
      <rgbColor rgb="FF333300"/>
      <rgbColor rgb="FFB22222"/>
      <rgbColor rgb="FF993366"/>
      <rgbColor rgb="FF2E5090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B1:N7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14843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10" min="2" style="1" width="24"/>
    <col collapsed="false" customWidth="true" hidden="false" outlineLevel="0" max="14" min="11" style="1" width="9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7.5" hidden="false" customHeight="true" outlineLevel="0" collapsed="false"/>
    <row r="5" customFormat="false" ht="15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6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</row>
    <row r="7" customFormat="false" ht="19.5" hidden="false" customHeight="true" outlineLevel="0" collapsed="false">
      <c r="B7" s="5" t="s">
        <v>12</v>
      </c>
      <c r="C7" s="6" t="n">
        <v>25</v>
      </c>
      <c r="D7" s="7" t="n">
        <f aca="false">COUNTIF('Abigael Singcol Manalaysay'!$G$5:$G$29,"*GREEN*")</f>
        <v>0</v>
      </c>
      <c r="E7" s="8" t="n">
        <f aca="false">COUNTIF('Abigael Singcol Manalaysay'!$G$5:$G$29,"*YELLOW*")</f>
        <v>25</v>
      </c>
      <c r="F7" s="9" t="n">
        <f aca="false">COUNTIF('Abigael Singcol Manalaysay'!$G$5:$G$29,"*RED*")</f>
        <v>0</v>
      </c>
      <c r="G7" s="10" t="n">
        <f aca="false">COUNTIF('Abigael Singcol Manalaysay'!$G$5:$G$29,"*BLACK*")</f>
        <v>0</v>
      </c>
      <c r="H7" s="11" t="n">
        <f aca="false">IFERROR((F7+G7)/C7,0)</f>
        <v>0</v>
      </c>
      <c r="I7" s="12" t="n">
        <f aca="false">IFERROR(AVERAGE('Abigael Singcol Manalaysay'!$S$5:$S$29),0)</f>
        <v>0</v>
      </c>
      <c r="J7" s="6"/>
      <c r="K7" s="6" t="str">
        <f aca="false">IF(G7&gt;0,"🚨 IMMEDIATE",IF(F7&gt;0,"⚠️ HIGH",IF(E7&gt;0,"📋 MONITOR","✅ STABLE")))</f>
        <v>📋 MONITOR</v>
      </c>
    </row>
    <row r="8" customFormat="false" ht="19.5" hidden="false" customHeight="true" outlineLevel="0" collapsed="false">
      <c r="B8" s="13" t="s">
        <v>13</v>
      </c>
      <c r="C8" s="14" t="n">
        <v>10</v>
      </c>
      <c r="D8" s="7" t="n">
        <f aca="false">COUNTIF('Aida Marie Rodriguez'!$G$5:$G$14,"*GREEN*")</f>
        <v>0</v>
      </c>
      <c r="E8" s="8" t="n">
        <f aca="false">COUNTIF('Aida Marie Rodriguez'!$G$5:$G$14,"*YELLOW*")</f>
        <v>10</v>
      </c>
      <c r="F8" s="9" t="n">
        <f aca="false">COUNTIF('Aida Marie Rodriguez'!$G$5:$G$14,"*RED*")</f>
        <v>0</v>
      </c>
      <c r="G8" s="10" t="n">
        <f aca="false">COUNTIF('Aida Marie Rodriguez'!$G$5:$G$14,"*BLACK*")</f>
        <v>0</v>
      </c>
      <c r="H8" s="11" t="n">
        <f aca="false">IFERROR((F8+G8)/C8,0)</f>
        <v>0</v>
      </c>
      <c r="I8" s="6" t="n">
        <f aca="false">IFERROR(AVERAGE('Aida Marie Rodriguez'!$S$5:$S$14),0)</f>
        <v>0</v>
      </c>
      <c r="J8" s="6"/>
      <c r="K8" s="6" t="str">
        <f aca="false">IF(G8&gt;0,"🚨 IMMEDIATE",IF(F8&gt;0,"⚠️ HIGH",IF(E8&gt;0,"📋 MONITOR","✅ STABLE")))</f>
        <v>📋 MONITOR</v>
      </c>
    </row>
    <row r="9" customFormat="false" ht="19.5" hidden="false" customHeight="true" outlineLevel="0" collapsed="false">
      <c r="B9" s="5" t="s">
        <v>14</v>
      </c>
      <c r="C9" s="6" t="n">
        <v>18</v>
      </c>
      <c r="D9" s="7" t="n">
        <f aca="false">COUNTIF('Ailene Logronio Laure'!$G$5:$G$22,"*GREEN*")</f>
        <v>0</v>
      </c>
      <c r="E9" s="8" t="n">
        <f aca="false">COUNTIF('Ailene Logronio Laure'!$G$5:$G$22,"*YELLOW*")</f>
        <v>18</v>
      </c>
      <c r="F9" s="9" t="n">
        <f aca="false">COUNTIF('Ailene Logronio Laure'!$G$5:$G$22,"*RED*")</f>
        <v>0</v>
      </c>
      <c r="G9" s="10" t="n">
        <f aca="false">COUNTIF('Ailene Logronio Laure'!$G$5:$G$22,"*BLACK*")</f>
        <v>0</v>
      </c>
      <c r="H9" s="11" t="n">
        <f aca="false">IFERROR((F9+G9)/C9,0)</f>
        <v>0</v>
      </c>
      <c r="I9" s="6" t="n">
        <f aca="false">IFERROR(AVERAGE('Ailene Logronio Laure'!$S$5:$S$22),0)</f>
        <v>0</v>
      </c>
      <c r="J9" s="6"/>
      <c r="K9" s="6" t="str">
        <f aca="false">IF(G9&gt;0,"🚨 IMMEDIATE",IF(F9&gt;0,"⚠️ HIGH",IF(E9&gt;0,"📋 MONITOR","✅ STABLE")))</f>
        <v>📋 MONITOR</v>
      </c>
    </row>
    <row r="10" customFormat="false" ht="19.5" hidden="false" customHeight="true" outlineLevel="0" collapsed="false">
      <c r="B10" s="13" t="s">
        <v>15</v>
      </c>
      <c r="C10" s="14" t="n">
        <v>5</v>
      </c>
      <c r="D10" s="7" t="n">
        <f aca="false">COUNTIF('Alanie Sanchez Lapuz'!$G$5:$G$9,"*GREEN*")</f>
        <v>0</v>
      </c>
      <c r="E10" s="8" t="n">
        <f aca="false">COUNTIF('Alanie Sanchez Lapuz'!$G$5:$G$9,"*YELLOW*")</f>
        <v>5</v>
      </c>
      <c r="F10" s="9" t="n">
        <f aca="false">COUNTIF('Alanie Sanchez Lapuz'!$G$5:$G$9,"*RED*")</f>
        <v>0</v>
      </c>
      <c r="G10" s="10" t="n">
        <f aca="false">COUNTIF('Alanie Sanchez Lapuz'!$G$5:$G$9,"*BLACK*")</f>
        <v>0</v>
      </c>
      <c r="H10" s="11" t="n">
        <f aca="false">IFERROR((F10+G10)/C10,0)</f>
        <v>0</v>
      </c>
      <c r="I10" s="6" t="n">
        <f aca="false">IFERROR(AVERAGE('Alanie Sanchez Lapuz'!$S$5:$S$9),0)</f>
        <v>0</v>
      </c>
      <c r="J10" s="6"/>
      <c r="K10" s="6" t="str">
        <f aca="false">IF(G10&gt;0,"🚨 IMMEDIATE",IF(F10&gt;0,"⚠️ HIGH",IF(E10&gt;0,"📋 MONITOR","✅ STABLE")))</f>
        <v>📋 MONITOR</v>
      </c>
    </row>
    <row r="11" customFormat="false" ht="19.5" hidden="false" customHeight="true" outlineLevel="0" collapsed="false">
      <c r="B11" s="5" t="s">
        <v>16</v>
      </c>
      <c r="C11" s="6" t="n">
        <v>24</v>
      </c>
      <c r="D11" s="7" t="n">
        <f aca="false">COUNTIF('Alyana Marie Jose Dela Cruz'!$G$5:$G$28,"*GREEN*")</f>
        <v>0</v>
      </c>
      <c r="E11" s="8" t="n">
        <f aca="false">COUNTIF('Alyana Marie Jose Dela Cruz'!$G$5:$G$28,"*YELLOW*")</f>
        <v>24</v>
      </c>
      <c r="F11" s="9" t="n">
        <f aca="false">COUNTIF('Alyana Marie Jose Dela Cruz'!$G$5:$G$28,"*RED*")</f>
        <v>0</v>
      </c>
      <c r="G11" s="10" t="n">
        <f aca="false">COUNTIF('Alyana Marie Jose Dela Cruz'!$G$5:$G$28,"*BLACK*")</f>
        <v>0</v>
      </c>
      <c r="H11" s="11" t="n">
        <f aca="false">IFERROR((F11+G11)/C11,0)</f>
        <v>0</v>
      </c>
      <c r="I11" s="6" t="n">
        <f aca="false">IFERROR(AVERAGE('Alyana Marie Jose Dela Cruz'!$S$5:$S$28),0)</f>
        <v>0</v>
      </c>
      <c r="J11" s="6"/>
      <c r="K11" s="6" t="str">
        <f aca="false">IF(G11&gt;0,"🚨 IMMEDIATE",IF(F11&gt;0,"⚠️ HIGH",IF(E11&gt;0,"📋 MONITOR","✅ STABLE")))</f>
        <v>📋 MONITOR</v>
      </c>
    </row>
    <row r="12" customFormat="false" ht="19.5" hidden="false" customHeight="true" outlineLevel="0" collapsed="false">
      <c r="B12" s="13" t="s">
        <v>17</v>
      </c>
      <c r="C12" s="14" t="n">
        <v>18</v>
      </c>
      <c r="D12" s="7" t="n">
        <f aca="false">COUNTIF('Archiene Ross Calderon Herbias'!$G$5:$G$22,"*GREEN*")</f>
        <v>0</v>
      </c>
      <c r="E12" s="8" t="n">
        <f aca="false">COUNTIF('Archiene Ross Calderon Herbias'!$G$5:$G$22,"*YELLOW*")</f>
        <v>18</v>
      </c>
      <c r="F12" s="9" t="n">
        <f aca="false">COUNTIF('Archiene Ross Calderon Herbias'!$G$5:$G$22,"*RED*")</f>
        <v>0</v>
      </c>
      <c r="G12" s="10" t="n">
        <f aca="false">COUNTIF('Archiene Ross Calderon Herbias'!$G$5:$G$22,"*BLACK*")</f>
        <v>0</v>
      </c>
      <c r="H12" s="11" t="n">
        <f aca="false">IFERROR((F12+G12)/C12,0)</f>
        <v>0</v>
      </c>
      <c r="I12" s="6" t="n">
        <f aca="false">IFERROR(AVERAGE('Archiene Ross Calderon Herbias'!$S$5:$S$22),0)</f>
        <v>0</v>
      </c>
      <c r="J12" s="6"/>
      <c r="K12" s="6" t="str">
        <f aca="false">IF(G12&gt;0,"🚨 IMMEDIATE",IF(F12&gt;0,"⚠️ HIGH",IF(E12&gt;0,"📋 MONITOR","✅ STABLE")))</f>
        <v>📋 MONITOR</v>
      </c>
    </row>
    <row r="13" customFormat="false" ht="19.5" hidden="false" customHeight="true" outlineLevel="0" collapsed="false">
      <c r="B13" s="5" t="s">
        <v>18</v>
      </c>
      <c r="C13" s="5"/>
      <c r="D13" s="5"/>
      <c r="E13" s="8" t="n">
        <f aca="false">COUNTIF('Beulah Grace Arroyo Dacanay'!$G$5:$G$23,"*YELLOW*")</f>
        <v>19</v>
      </c>
      <c r="F13" s="8"/>
      <c r="G13" s="10" t="n">
        <f aca="false">COUNTIF('Beulah Grace Arroyo Dacanay'!$G$5:$G$23,"*BLACK*")</f>
        <v>0</v>
      </c>
      <c r="H13" s="10"/>
      <c r="I13" s="15" t="n">
        <f aca="false">IFERROR(AVERAGE('Beulah Grace Arroyo Dacanay'!$S$5:$S$23),0)</f>
        <v>0</v>
      </c>
      <c r="J13" s="15"/>
      <c r="K13" s="15" t="str">
        <f aca="false">IF(G13&gt;0,"🚨 IMMEDIATE",IF(F13&gt;0,"⚠️ HIGH",IF(E13&gt;0,"📋 MONITOR","✅ STABLE")))</f>
        <v>📋 MONITOR</v>
      </c>
      <c r="L13" s="15"/>
    </row>
    <row r="14" customFormat="false" ht="19.5" hidden="false" customHeight="true" outlineLevel="0" collapsed="false">
      <c r="B14" s="13" t="s">
        <v>19</v>
      </c>
      <c r="C14" s="13"/>
      <c r="D14" s="13"/>
      <c r="E14" s="8" t="n">
        <f aca="false">COUNTIF('Carlo Angelo Lim Regalado'!$G$5:$G$8,"*YELLOW*")</f>
        <v>4</v>
      </c>
      <c r="F14" s="8"/>
      <c r="G14" s="10" t="n">
        <f aca="false">COUNTIF('Carlo Angelo Lim Regalado'!$G$5:$G$8,"*BLACK*")</f>
        <v>0</v>
      </c>
      <c r="H14" s="10"/>
      <c r="I14" s="15" t="n">
        <f aca="false">IFERROR(AVERAGE('Carlo Angelo Lim Regalado'!$S$5:$S$8),0)</f>
        <v>0</v>
      </c>
      <c r="J14" s="15"/>
      <c r="K14" s="15" t="str">
        <f aca="false">IF(G14&gt;0,"🚨 IMMEDIATE",IF(F14&gt;0,"⚠️ HIGH",IF(E14&gt;0,"📋 MONITOR","✅ STABLE")))</f>
        <v>📋 MONITOR</v>
      </c>
      <c r="L14" s="15"/>
    </row>
    <row r="15" customFormat="false" ht="19.5" hidden="false" customHeight="true" outlineLevel="0" collapsed="false">
      <c r="B15" s="5" t="s">
        <v>20</v>
      </c>
      <c r="C15" s="6" t="n">
        <v>4</v>
      </c>
      <c r="D15" s="7" t="n">
        <f aca="false">COUNTIF('Cathreen Aizha Ria Almazan'!$G$5:$G$8,"*GREEN*")</f>
        <v>0</v>
      </c>
      <c r="E15" s="8" t="n">
        <f aca="false">COUNTIF('Cathreen Aizha Ria Almazan'!$G$5:$G$8,"*YELLOW*")</f>
        <v>4</v>
      </c>
      <c r="F15" s="9" t="n">
        <f aca="false">COUNTIF('Cathreen Aizha Ria Almazan'!$G$5:$G$8,"*RED*")</f>
        <v>0</v>
      </c>
      <c r="G15" s="10" t="n">
        <f aca="false">COUNTIF('Cathreen Aizha Ria Almazan'!$G$5:$G$8,"*BLACK*")</f>
        <v>0</v>
      </c>
      <c r="H15" s="11" t="n">
        <f aca="false">IFERROR((F15+G15)/C15,0)</f>
        <v>0</v>
      </c>
      <c r="I15" s="6" t="n">
        <f aca="false">IFERROR(AVERAGE('Cathreen Aizha Ria Almazan'!$S$5:$S$8),0)</f>
        <v>0</v>
      </c>
      <c r="J15" s="6"/>
      <c r="K15" s="6" t="str">
        <f aca="false">IF(G15&gt;0,"🚨 IMMEDIATE",IF(F15&gt;0,"⚠️ HIGH",IF(E15&gt;0,"📋 MONITOR","✅ STABLE")))</f>
        <v>📋 MONITOR</v>
      </c>
    </row>
    <row r="16" customFormat="false" ht="19.5" hidden="false" customHeight="true" outlineLevel="0" collapsed="false">
      <c r="B16" s="13" t="s">
        <v>21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customFormat="false" ht="19.5" hidden="false" customHeight="true" outlineLevel="0" collapsed="false">
      <c r="B17" s="5" t="s">
        <v>22</v>
      </c>
      <c r="C17" s="6" t="n">
        <v>13</v>
      </c>
      <c r="D17" s="7" t="n">
        <f aca="false">COUNTIF('Charmaine Garde Calupig'!$G$5:$G$17,"*GREEN*")</f>
        <v>0</v>
      </c>
      <c r="E17" s="8" t="n">
        <f aca="false">COUNTIF('Charmaine Garde Calupig'!$G$5:$G$17,"*YELLOW*")</f>
        <v>13</v>
      </c>
      <c r="F17" s="9" t="n">
        <f aca="false">COUNTIF('Charmaine Garde Calupig'!$G$5:$G$17,"*RED*")</f>
        <v>0</v>
      </c>
      <c r="G17" s="10" t="n">
        <f aca="false">COUNTIF('Charmaine Garde Calupig'!$G$5:$G$17,"*BLACK*")</f>
        <v>0</v>
      </c>
      <c r="H17" s="11" t="n">
        <f aca="false">IFERROR((F17+G17)/C17,0)</f>
        <v>0</v>
      </c>
      <c r="I17" s="6" t="n">
        <f aca="false">IFERROR(AVERAGE('Charmaine Garde Calupig'!$S$5:$S$17),0)</f>
        <v>0</v>
      </c>
      <c r="J17" s="6"/>
      <c r="K17" s="6" t="str">
        <f aca="false">IF(G17&gt;0,"🚨 IMMEDIATE",IF(F17&gt;0,"⚠️ HIGH",IF(E17&gt;0,"📋 MONITOR","✅ STABLE")))</f>
        <v>📋 MONITOR</v>
      </c>
    </row>
    <row r="18" customFormat="false" ht="19.5" hidden="false" customHeight="true" outlineLevel="0" collapsed="false">
      <c r="B18" s="13" t="s">
        <v>23</v>
      </c>
      <c r="C18" s="14" t="n">
        <v>10</v>
      </c>
      <c r="D18" s="7" t="n">
        <f aca="false">COUNTIF('Chrisel Lingat Martinez'!$G$5:$G$14,"*GREEN*")</f>
        <v>0</v>
      </c>
      <c r="E18" s="8" t="n">
        <f aca="false">COUNTIF('Chrisel Lingat Martinez'!$G$5:$G$14,"*YELLOW*")</f>
        <v>10</v>
      </c>
      <c r="F18" s="9" t="n">
        <f aca="false">COUNTIF('Chrisel Lingat Martinez'!$G$5:$G$14,"*RED*")</f>
        <v>0</v>
      </c>
      <c r="G18" s="10" t="n">
        <f aca="false">COUNTIF('Chrisel Lingat Martinez'!$G$5:$G$14,"*BLACK*")</f>
        <v>0</v>
      </c>
      <c r="H18" s="11" t="n">
        <f aca="false">IFERROR((F18+G18)/C18,0)</f>
        <v>0</v>
      </c>
      <c r="I18" s="6" t="n">
        <f aca="false">IFERROR(AVERAGE('Chrisel Lingat Martinez'!$S$5:$S$14),0)</f>
        <v>0</v>
      </c>
      <c r="J18" s="6"/>
      <c r="K18" s="6" t="str">
        <f aca="false">IF(G18&gt;0,"🚨 IMMEDIATE",IF(F18&gt;0,"⚠️ HIGH",IF(E18&gt;0,"📋 MONITOR","✅ STABLE")))</f>
        <v>📋 MONITOR</v>
      </c>
    </row>
    <row r="19" customFormat="false" ht="19.5" hidden="false" customHeight="true" outlineLevel="0" collapsed="false">
      <c r="B19" s="5" t="s">
        <v>24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9.5" hidden="false" customHeight="true" outlineLevel="0" collapsed="false">
      <c r="B20" s="13" t="s">
        <v>25</v>
      </c>
      <c r="C20" s="14" t="n">
        <v>19</v>
      </c>
      <c r="D20" s="7" t="n">
        <f aca="false">COUNTIF('Danica Villano Furiscal'!$G$5:$G$23,"*GREEN*")</f>
        <v>0</v>
      </c>
      <c r="E20" s="8" t="n">
        <f aca="false">COUNTIF('Danica Villano Furiscal'!$G$5:$G$23,"*YELLOW*")</f>
        <v>19</v>
      </c>
      <c r="F20" s="9" t="n">
        <f aca="false">COUNTIF('Danica Villano Furiscal'!$G$5:$G$23,"*RED*")</f>
        <v>0</v>
      </c>
      <c r="G20" s="10" t="n">
        <f aca="false">COUNTIF('Danica Villano Furiscal'!$G$5:$G$23,"*BLACK*")</f>
        <v>0</v>
      </c>
      <c r="H20" s="11" t="n">
        <f aca="false">IFERROR((F20+G20)/C20,0)</f>
        <v>0</v>
      </c>
      <c r="I20" s="6" t="n">
        <f aca="false">IFERROR(AVERAGE('Danica Villano Furiscal'!$S$5:$S$23),0)</f>
        <v>0</v>
      </c>
      <c r="J20" s="6"/>
      <c r="K20" s="6" t="str">
        <f aca="false">IF(G20&gt;0,"🚨 IMMEDIATE",IF(F20&gt;0,"⚠️ HIGH",IF(E20&gt;0,"📋 MONITOR","✅ STABLE")))</f>
        <v>📋 MONITOR</v>
      </c>
    </row>
    <row r="21" customFormat="false" ht="19.5" hidden="false" customHeight="true" outlineLevel="0" collapsed="false">
      <c r="B21" s="5" t="s">
        <v>26</v>
      </c>
      <c r="C21" s="6" t="n">
        <v>12</v>
      </c>
      <c r="D21" s="7" t="n">
        <f aca="false">COUNTIF('Desiree Granpil Rudio'!$G$5:$G$16,"*GREEN*")</f>
        <v>0</v>
      </c>
      <c r="E21" s="8" t="n">
        <f aca="false">COUNTIF('Desiree Granpil Rudio'!$G$5:$G$16,"*YELLOW*")</f>
        <v>12</v>
      </c>
      <c r="F21" s="9" t="n">
        <f aca="false">COUNTIF('Desiree Granpil Rudio'!$G$5:$G$16,"*RED*")</f>
        <v>0</v>
      </c>
      <c r="G21" s="10" t="n">
        <f aca="false">COUNTIF('Desiree Granpil Rudio'!$G$5:$G$16,"*BLACK*")</f>
        <v>0</v>
      </c>
      <c r="H21" s="11" t="n">
        <f aca="false">IFERROR((F21+G21)/C21,0)</f>
        <v>0</v>
      </c>
      <c r="I21" s="6" t="n">
        <f aca="false">IFERROR(AVERAGE('Desiree Granpil Rudio'!$S$5:$S$16),0)</f>
        <v>0</v>
      </c>
      <c r="J21" s="6"/>
      <c r="K21" s="6" t="str">
        <f aca="false">IF(G21&gt;0,"🚨 IMMEDIATE",IF(F21&gt;0,"⚠️ HIGH",IF(E21&gt;0,"📋 MONITOR","✅ STABLE")))</f>
        <v>📋 MONITOR</v>
      </c>
    </row>
    <row r="22" customFormat="false" ht="19.5" hidden="false" customHeight="true" outlineLevel="0" collapsed="false">
      <c r="B22" s="13" t="s">
        <v>27</v>
      </c>
      <c r="C22" s="14" t="n">
        <v>17</v>
      </c>
      <c r="D22" s="7" t="n">
        <f aca="false">COUNTIF('Donabel Sabado Corrales'!$G$5:$G$21,"*GREEN*")</f>
        <v>0</v>
      </c>
      <c r="E22" s="8" t="n">
        <f aca="false">COUNTIF('Donabel Sabado Corrales'!$G$5:$G$21,"*YELLOW*")</f>
        <v>17</v>
      </c>
      <c r="F22" s="9" t="n">
        <f aca="false">COUNTIF('Donabel Sabado Corrales'!$G$5:$G$21,"*RED*")</f>
        <v>0</v>
      </c>
      <c r="G22" s="10" t="n">
        <f aca="false">COUNTIF('Donabel Sabado Corrales'!$G$5:$G$21,"*BLACK*")</f>
        <v>0</v>
      </c>
      <c r="H22" s="11" t="n">
        <f aca="false">IFERROR((F22+G22)/C22,0)</f>
        <v>0</v>
      </c>
      <c r="I22" s="6" t="n">
        <f aca="false">IFERROR(AVERAGE('Donabel Sabado Corrales'!$S$5:$S$21),0)</f>
        <v>0</v>
      </c>
      <c r="J22" s="6"/>
      <c r="K22" s="6" t="str">
        <f aca="false">IF(G22&gt;0,"🚨 IMMEDIATE",IF(F22&gt;0,"⚠️ HIGH",IF(E22&gt;0,"📋 MONITOR","✅ STABLE")))</f>
        <v>📋 MONITOR</v>
      </c>
    </row>
    <row r="23" customFormat="false" ht="19.5" hidden="false" customHeight="true" outlineLevel="0" collapsed="false">
      <c r="B23" s="5" t="s">
        <v>28</v>
      </c>
      <c r="C23" s="6" t="n">
        <v>18</v>
      </c>
      <c r="D23" s="7" t="n">
        <f aca="false">COUNTIF('Efren Jr Caitor Variacion'!$G$5:$G$22,"*GREEN*")</f>
        <v>0</v>
      </c>
      <c r="E23" s="8" t="n">
        <f aca="false">COUNTIF('Efren Jr Caitor Variacion'!$G$5:$G$22,"*YELLOW*")</f>
        <v>18</v>
      </c>
      <c r="F23" s="9" t="n">
        <f aca="false">COUNTIF('Efren Jr Caitor Variacion'!$G$5:$G$22,"*RED*")</f>
        <v>0</v>
      </c>
      <c r="G23" s="10" t="n">
        <f aca="false">COUNTIF('Efren Jr Caitor Variacion'!$G$5:$G$22,"*BLACK*")</f>
        <v>0</v>
      </c>
      <c r="H23" s="11" t="n">
        <f aca="false">IFERROR((F23+G23)/C23,0)</f>
        <v>0</v>
      </c>
      <c r="I23" s="6" t="n">
        <f aca="false">IFERROR(AVERAGE('Efren Jr Caitor Variacion'!$S$5:$S$22),0)</f>
        <v>0</v>
      </c>
      <c r="J23" s="6"/>
      <c r="K23" s="6" t="str">
        <f aca="false">IF(G23&gt;0,"🚨 IMMEDIATE",IF(F23&gt;0,"⚠️ HIGH",IF(E23&gt;0,"📋 MONITOR","✅ STABLE")))</f>
        <v>📋 MONITOR</v>
      </c>
    </row>
    <row r="24" customFormat="false" ht="19.5" hidden="false" customHeight="true" outlineLevel="0" collapsed="false">
      <c r="B24" s="13" t="s">
        <v>29</v>
      </c>
      <c r="C24" s="14" t="n">
        <v>4</v>
      </c>
      <c r="D24" s="7" t="n">
        <f aca="false">COUNTIF('Frederic Matthew Carlos Tuting'!$G$5:$G$8,"*GREEN*")</f>
        <v>0</v>
      </c>
      <c r="E24" s="8" t="n">
        <f aca="false">COUNTIF('Frederic Matthew Carlos Tuting'!$G$5:$G$8,"*YELLOW*")</f>
        <v>4</v>
      </c>
      <c r="F24" s="9" t="n">
        <f aca="false">COUNTIF('Frederic Matthew Carlos Tuting'!$G$5:$G$8,"*RED*")</f>
        <v>0</v>
      </c>
      <c r="G24" s="10" t="n">
        <f aca="false">COUNTIF('Frederic Matthew Carlos Tuting'!$G$5:$G$8,"*BLACK*")</f>
        <v>0</v>
      </c>
      <c r="H24" s="11" t="n">
        <f aca="false">IFERROR((F24+G24)/C24,0)</f>
        <v>0</v>
      </c>
      <c r="I24" s="6" t="n">
        <f aca="false">IFERROR(AVERAGE('Frederic Matthew Carlos Tuting'!$S$5:$S$8),0)</f>
        <v>0</v>
      </c>
      <c r="J24" s="6"/>
      <c r="K24" s="6" t="str">
        <f aca="false">IF(G24&gt;0,"🚨 IMMEDIATE",IF(F24&gt;0,"⚠️ HIGH",IF(E24&gt;0,"📋 MONITOR","✅ STABLE")))</f>
        <v>📋 MONITOR</v>
      </c>
    </row>
    <row r="25" customFormat="false" ht="19.5" hidden="false" customHeight="true" outlineLevel="0" collapsed="false">
      <c r="B25" s="5" t="s">
        <v>30</v>
      </c>
      <c r="C25" s="6" t="n">
        <v>16</v>
      </c>
      <c r="D25" s="7" t="n">
        <f aca="false">COUNTIF('Gay Olid Lobrin'!$G$5:$G$20,"*GREEN*")</f>
        <v>0</v>
      </c>
      <c r="E25" s="8" t="n">
        <f aca="false">COUNTIF('Gay Olid Lobrin'!$G$5:$G$20,"*YELLOW*")</f>
        <v>16</v>
      </c>
      <c r="F25" s="9" t="n">
        <f aca="false">COUNTIF('Gay Olid Lobrin'!$G$5:$G$20,"*RED*")</f>
        <v>0</v>
      </c>
      <c r="G25" s="10" t="n">
        <f aca="false">COUNTIF('Gay Olid Lobrin'!$G$5:$G$20,"*BLACK*")</f>
        <v>0</v>
      </c>
      <c r="H25" s="11" t="n">
        <f aca="false">IFERROR((F25+G25)/C25,0)</f>
        <v>0</v>
      </c>
      <c r="I25" s="6" t="n">
        <f aca="false">IFERROR(AVERAGE('Gay Olid Lobrin'!$S$5:$S$20),0)</f>
        <v>0</v>
      </c>
      <c r="J25" s="6"/>
      <c r="K25" s="6" t="str">
        <f aca="false">IF(G25&gt;0,"🚨 IMMEDIATE",IF(F25&gt;0,"⚠️ HIGH",IF(E25&gt;0,"📋 MONITOR","✅ STABLE")))</f>
        <v>📋 MONITOR</v>
      </c>
    </row>
    <row r="26" customFormat="false" ht="19.5" hidden="false" customHeight="true" outlineLevel="0" collapsed="false">
      <c r="B26" s="13" t="s">
        <v>31</v>
      </c>
      <c r="C26" s="14" t="n">
        <v>14</v>
      </c>
      <c r="D26" s="7" t="n">
        <f aca="false">COUNTIF('Hector Ramiro Laboy- Lebron'!$G$5:$G$18,"*GREEN*")</f>
        <v>0</v>
      </c>
      <c r="E26" s="8" t="n">
        <f aca="false">COUNTIF('Hector Ramiro Laboy- Lebron'!$G$5:$G$18,"*YELLOW*")</f>
        <v>14</v>
      </c>
      <c r="F26" s="9" t="n">
        <f aca="false">COUNTIF('Hector Ramiro Laboy- Lebron'!$G$5:$G$18,"*RED*")</f>
        <v>0</v>
      </c>
      <c r="G26" s="10" t="n">
        <f aca="false">COUNTIF('Hector Ramiro Laboy- Lebron'!$G$5:$G$18,"*BLACK*")</f>
        <v>0</v>
      </c>
      <c r="H26" s="11" t="n">
        <f aca="false">IFERROR((F26+G26)/C26,0)</f>
        <v>0</v>
      </c>
      <c r="I26" s="6" t="n">
        <f aca="false">IFERROR(AVERAGE('Hector Ramiro Laboy- Lebron'!$S$5:$S$18),0)</f>
        <v>0</v>
      </c>
      <c r="J26" s="6"/>
      <c r="K26" s="6" t="str">
        <f aca="false">IF(G26&gt;0,"🚨 IMMEDIATE",IF(F26&gt;0,"⚠️ HIGH",IF(E26&gt;0,"📋 MONITOR","✅ STABLE")))</f>
        <v>📋 MONITOR</v>
      </c>
    </row>
    <row r="27" customFormat="false" ht="19.5" hidden="false" customHeight="true" outlineLevel="0" collapsed="false">
      <c r="B27" s="5" t="s">
        <v>32</v>
      </c>
      <c r="C27" s="6" t="n">
        <v>6</v>
      </c>
      <c r="D27" s="7" t="n">
        <f aca="false">COUNTIF('Janice Carbonilla Rudila'!$G$5:$G$10,"*GREEN*")</f>
        <v>0</v>
      </c>
      <c r="E27" s="8" t="n">
        <f aca="false">COUNTIF('Janice Carbonilla Rudila'!$G$5:$G$10,"*YELLOW*")</f>
        <v>6</v>
      </c>
      <c r="F27" s="9" t="n">
        <f aca="false">COUNTIF('Janice Carbonilla Rudila'!$G$5:$G$10,"*RED*")</f>
        <v>0</v>
      </c>
      <c r="G27" s="10" t="n">
        <f aca="false">COUNTIF('Janice Carbonilla Rudila'!$G$5:$G$10,"*BLACK*")</f>
        <v>0</v>
      </c>
      <c r="H27" s="11" t="n">
        <f aca="false">IFERROR((F27+G27)/C27,0)</f>
        <v>0</v>
      </c>
      <c r="I27" s="6" t="n">
        <f aca="false">IFERROR(AVERAGE('Janice Carbonilla Rudila'!$S$5:$S$10),0)</f>
        <v>0</v>
      </c>
      <c r="J27" s="6"/>
      <c r="K27" s="6" t="str">
        <f aca="false">IF(G27&gt;0,"🚨 IMMEDIATE",IF(F27&gt;0,"⚠️ HIGH",IF(E27&gt;0,"📋 MONITOR","✅ STABLE")))</f>
        <v>📋 MONITOR</v>
      </c>
    </row>
    <row r="28" customFormat="false" ht="19.5" hidden="false" customHeight="true" outlineLevel="0" collapsed="false">
      <c r="B28" s="13" t="s">
        <v>33</v>
      </c>
      <c r="C28" s="14" t="n">
        <v>22</v>
      </c>
      <c r="D28" s="7" t="n">
        <f aca="false">COUNTIF('Jean Paul Raymundo Larracas'!$G$5:$G$26,"*GREEN*")</f>
        <v>0</v>
      </c>
      <c r="E28" s="8" t="n">
        <f aca="false">COUNTIF('Jean Paul Raymundo Larracas'!$G$5:$G$26,"*YELLOW*")</f>
        <v>22</v>
      </c>
      <c r="F28" s="9" t="n">
        <f aca="false">COUNTIF('Jean Paul Raymundo Larracas'!$G$5:$G$26,"*RED*")</f>
        <v>0</v>
      </c>
      <c r="G28" s="10" t="n">
        <f aca="false">COUNTIF('Jean Paul Raymundo Larracas'!$G$5:$G$26,"*BLACK*")</f>
        <v>0</v>
      </c>
      <c r="H28" s="11" t="n">
        <f aca="false">IFERROR((F28+G28)/C28,0)</f>
        <v>0</v>
      </c>
      <c r="I28" s="6" t="n">
        <f aca="false">IFERROR(AVERAGE('Jean Paul Raymundo Larracas'!$S$5:$S$26),0)</f>
        <v>0</v>
      </c>
      <c r="J28" s="6"/>
      <c r="K28" s="6" t="str">
        <f aca="false">IF(G28&gt;0,"🚨 IMMEDIATE",IF(F28&gt;0,"⚠️ HIGH",IF(E28&gt;0,"📋 MONITOR","✅ STABLE")))</f>
        <v>📋 MONITOR</v>
      </c>
    </row>
    <row r="29" customFormat="false" ht="19.5" hidden="false" customHeight="true" outlineLevel="0" collapsed="false">
      <c r="B29" s="5" t="s">
        <v>34</v>
      </c>
      <c r="C29" s="6" t="n">
        <v>20</v>
      </c>
      <c r="D29" s="7" t="n">
        <f aca="false">COUNTIF('Jennie Ann Mondido Abrasado'!$G$5:$G$24,"*GREEN*")</f>
        <v>0</v>
      </c>
      <c r="E29" s="8" t="n">
        <f aca="false">COUNTIF('Jennie Ann Mondido Abrasado'!$G$5:$G$24,"*YELLOW*")</f>
        <v>20</v>
      </c>
      <c r="F29" s="9" t="n">
        <f aca="false">COUNTIF('Jennie Ann Mondido Abrasado'!$G$5:$G$24,"*RED*")</f>
        <v>0</v>
      </c>
      <c r="G29" s="10" t="n">
        <f aca="false">COUNTIF('Jennie Ann Mondido Abrasado'!$G$5:$G$24,"*BLACK*")</f>
        <v>0</v>
      </c>
      <c r="H29" s="11" t="n">
        <f aca="false">IFERROR((F29+G29)/C29,0)</f>
        <v>0</v>
      </c>
      <c r="I29" s="6" t="n">
        <f aca="false">IFERROR(AVERAGE('Jennie Ann Mondido Abrasado'!$S$5:$S$24),0)</f>
        <v>0</v>
      </c>
      <c r="J29" s="6"/>
      <c r="K29" s="6" t="str">
        <f aca="false">IF(G29&gt;0,"🚨 IMMEDIATE",IF(F29&gt;0,"⚠️ HIGH",IF(E29&gt;0,"📋 MONITOR","✅ STABLE")))</f>
        <v>📋 MONITOR</v>
      </c>
    </row>
    <row r="30" customFormat="false" ht="19.5" hidden="false" customHeight="true" outlineLevel="0" collapsed="false">
      <c r="B30" s="13" t="s">
        <v>35</v>
      </c>
      <c r="C30" s="14" t="n">
        <v>14</v>
      </c>
      <c r="D30" s="7" t="n">
        <f aca="false">COUNTIF('Jennifer N BurgoS-Rivera'!$G$5:$G$18,"*GREEN*")</f>
        <v>0</v>
      </c>
      <c r="E30" s="8" t="n">
        <f aca="false">COUNTIF('Jennifer N BurgoS-Rivera'!$G$5:$G$18,"*YELLOW*")</f>
        <v>14</v>
      </c>
      <c r="F30" s="9" t="n">
        <f aca="false">COUNTIF('Jennifer N BurgoS-Rivera'!$G$5:$G$18,"*RED*")</f>
        <v>0</v>
      </c>
      <c r="G30" s="10" t="n">
        <f aca="false">COUNTIF('Jennifer N BurgoS-Rivera'!$G$5:$G$18,"*BLACK*")</f>
        <v>0</v>
      </c>
      <c r="H30" s="11" t="n">
        <f aca="false">IFERROR((F30+G30)/C30,0)</f>
        <v>0</v>
      </c>
      <c r="I30" s="6" t="n">
        <f aca="false">IFERROR(AVERAGE('Jennifer N BurgoS-Rivera'!$S$5:$S$18),0)</f>
        <v>0</v>
      </c>
      <c r="J30" s="6"/>
      <c r="K30" s="6" t="str">
        <f aca="false">IF(G30&gt;0,"🚨 IMMEDIATE",IF(F30&gt;0,"⚠️ HIGH",IF(E30&gt;0,"📋 MONITOR","✅ STABLE")))</f>
        <v>📋 MONITOR</v>
      </c>
    </row>
    <row r="31" customFormat="false" ht="19.5" hidden="false" customHeight="true" outlineLevel="0" collapsed="false">
      <c r="B31" s="5" t="s">
        <v>36</v>
      </c>
      <c r="C31" s="6" t="n">
        <v>18</v>
      </c>
      <c r="D31" s="7" t="n">
        <f aca="false">COUNTIF('Jeric Amazona Mansibang'!$G$5:$G$22,"*GREEN*")</f>
        <v>0</v>
      </c>
      <c r="E31" s="8" t="n">
        <f aca="false">COUNTIF('Jeric Amazona Mansibang'!$G$5:$G$22,"*YELLOW*")</f>
        <v>18</v>
      </c>
      <c r="F31" s="9" t="n">
        <f aca="false">COUNTIF('Jeric Amazona Mansibang'!$G$5:$G$22,"*RED*")</f>
        <v>0</v>
      </c>
      <c r="G31" s="10" t="n">
        <f aca="false">COUNTIF('Jeric Amazona Mansibang'!$G$5:$G$22,"*BLACK*")</f>
        <v>0</v>
      </c>
      <c r="H31" s="11" t="n">
        <f aca="false">IFERROR((F31+G31)/C31,0)</f>
        <v>0</v>
      </c>
      <c r="I31" s="6" t="n">
        <f aca="false">IFERROR(AVERAGE('Jeric Amazona Mansibang'!$S$5:$S$22),0)</f>
        <v>0</v>
      </c>
      <c r="J31" s="6"/>
      <c r="K31" s="6" t="str">
        <f aca="false">IF(G31&gt;0,"🚨 IMMEDIATE",IF(F31&gt;0,"⚠️ HIGH",IF(E31&gt;0,"📋 MONITOR","✅ STABLE")))</f>
        <v>📋 MONITOR</v>
      </c>
    </row>
    <row r="32" customFormat="false" ht="19.5" hidden="false" customHeight="true" outlineLevel="0" collapsed="false">
      <c r="B32" s="13" t="s">
        <v>37</v>
      </c>
      <c r="C32" s="14" t="n">
        <v>16</v>
      </c>
      <c r="D32" s="7" t="n">
        <f aca="false">COUNTIF('John Earl Melitado Lagare'!$G$5:$G$20,"*GREEN*")</f>
        <v>0</v>
      </c>
      <c r="E32" s="8" t="n">
        <f aca="false">COUNTIF('John Earl Melitado Lagare'!$G$5:$G$20,"*YELLOW*")</f>
        <v>16</v>
      </c>
      <c r="F32" s="9" t="n">
        <f aca="false">COUNTIF('John Earl Melitado Lagare'!$G$5:$G$20,"*RED*")</f>
        <v>0</v>
      </c>
      <c r="G32" s="10" t="n">
        <f aca="false">COUNTIF('John Earl Melitado Lagare'!$G$5:$G$20,"*BLACK*")</f>
        <v>0</v>
      </c>
      <c r="H32" s="11" t="n">
        <f aca="false">IFERROR((F32+G32)/C32,0)</f>
        <v>0</v>
      </c>
      <c r="I32" s="6" t="n">
        <f aca="false">IFERROR(AVERAGE('John Earl Melitado Lagare'!$S$5:$S$20),0)</f>
        <v>0</v>
      </c>
      <c r="J32" s="6"/>
      <c r="K32" s="6" t="str">
        <f aca="false">IF(G32&gt;0,"🚨 IMMEDIATE",IF(F32&gt;0,"⚠️ HIGH",IF(E32&gt;0,"📋 MONITOR","✅ STABLE")))</f>
        <v>📋 MONITOR</v>
      </c>
    </row>
    <row r="33" customFormat="false" ht="19.5" hidden="false" customHeight="true" outlineLevel="0" collapsed="false">
      <c r="B33" s="5" t="s">
        <v>38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9.5" hidden="false" customHeight="true" outlineLevel="0" collapsed="false">
      <c r="B34" s="13" t="s">
        <v>39</v>
      </c>
      <c r="C34" s="14" t="n">
        <v>15</v>
      </c>
      <c r="D34" s="7" t="n">
        <f aca="false">COUNTIF('Joseph Andrew Cera Ballesteros'!$G$5:$G$19,"*GREEN*")</f>
        <v>0</v>
      </c>
      <c r="E34" s="8" t="n">
        <f aca="false">COUNTIF('Joseph Andrew Cera Ballesteros'!$G$5:$G$19,"*YELLOW*")</f>
        <v>15</v>
      </c>
      <c r="F34" s="9" t="n">
        <f aca="false">COUNTIF('Joseph Andrew Cera Ballesteros'!$G$5:$G$19,"*RED*")</f>
        <v>0</v>
      </c>
      <c r="G34" s="10" t="n">
        <f aca="false">COUNTIF('Joseph Andrew Cera Ballesteros'!$G$5:$G$19,"*BLACK*")</f>
        <v>0</v>
      </c>
      <c r="H34" s="11" t="n">
        <f aca="false">IFERROR((F34+G34)/C34,0)</f>
        <v>0</v>
      </c>
      <c r="I34" s="6" t="n">
        <f aca="false">IFERROR(AVERAGE('Joseph Andrew Cera Ballesteros'!$S$5:$S$19),0)</f>
        <v>0</v>
      </c>
      <c r="J34" s="6"/>
      <c r="K34" s="6" t="str">
        <f aca="false">IF(G34&gt;0,"🚨 IMMEDIATE",IF(F34&gt;0,"⚠️ HIGH",IF(E34&gt;0,"📋 MONITOR","✅ STABLE")))</f>
        <v>📋 MONITOR</v>
      </c>
    </row>
    <row r="35" customFormat="false" ht="19.5" hidden="false" customHeight="true" outlineLevel="0" collapsed="false">
      <c r="B35" s="5" t="s">
        <v>40</v>
      </c>
      <c r="C35" s="6" t="n">
        <v>21</v>
      </c>
      <c r="D35" s="7" t="n">
        <f aca="false">COUNTIF('Kathrina Mae Suycano Silangan'!$G$5:$G$25,"*GREEN*")</f>
        <v>0</v>
      </c>
      <c r="E35" s="8" t="n">
        <f aca="false">COUNTIF('Kathrina Mae Suycano Silangan'!$G$5:$G$25,"*YELLOW*")</f>
        <v>21</v>
      </c>
      <c r="F35" s="9" t="n">
        <f aca="false">COUNTIF('Kathrina Mae Suycano Silangan'!$G$5:$G$25,"*RED*")</f>
        <v>0</v>
      </c>
      <c r="G35" s="10" t="n">
        <f aca="false">COUNTIF('Kathrina Mae Suycano Silangan'!$G$5:$G$25,"*BLACK*")</f>
        <v>0</v>
      </c>
      <c r="H35" s="11" t="n">
        <f aca="false">IFERROR((F35+G35)/C35,0)</f>
        <v>0</v>
      </c>
      <c r="I35" s="6" t="n">
        <f aca="false">IFERROR(AVERAGE('Kathrina Mae Suycano Silangan'!$S$5:$S$25),0)</f>
        <v>0</v>
      </c>
      <c r="J35" s="6"/>
      <c r="K35" s="6" t="str">
        <f aca="false">IF(G35&gt;0,"🚨 IMMEDIATE",IF(F35&gt;0,"⚠️ HIGH",IF(E35&gt;0,"📋 MONITOR","✅ STABLE")))</f>
        <v>📋 MONITOR</v>
      </c>
    </row>
    <row r="36" customFormat="false" ht="19.5" hidden="false" customHeight="true" outlineLevel="0" collapsed="false">
      <c r="B36" s="13" t="s">
        <v>41</v>
      </c>
      <c r="C36" s="14" t="n">
        <v>19</v>
      </c>
      <c r="D36" s="7" t="n">
        <f aca="false">COUNTIF('Khyno Elimanco Cortez'!$G$5:$G$23,"*GREEN*")</f>
        <v>0</v>
      </c>
      <c r="E36" s="8" t="n">
        <f aca="false">COUNTIF('Khyno Elimanco Cortez'!$G$5:$G$23,"*YELLOW*")</f>
        <v>19</v>
      </c>
      <c r="F36" s="9" t="n">
        <f aca="false">COUNTIF('Khyno Elimanco Cortez'!$G$5:$G$23,"*RED*")</f>
        <v>0</v>
      </c>
      <c r="G36" s="10" t="n">
        <f aca="false">COUNTIF('Khyno Elimanco Cortez'!$G$5:$G$23,"*BLACK*")</f>
        <v>0</v>
      </c>
      <c r="H36" s="11" t="n">
        <f aca="false">IFERROR((F36+G36)/C36,0)</f>
        <v>0</v>
      </c>
      <c r="I36" s="6" t="n">
        <f aca="false">IFERROR(AVERAGE('Khyno Elimanco Cortez'!$S$5:$S$23),0)</f>
        <v>0</v>
      </c>
      <c r="J36" s="6"/>
      <c r="K36" s="6" t="str">
        <f aca="false">IF(G36&gt;0,"🚨 IMMEDIATE",IF(F36&gt;0,"⚠️ HIGH",IF(E36&gt;0,"📋 MONITOR","✅ STABLE")))</f>
        <v>📋 MONITOR</v>
      </c>
    </row>
    <row r="37" customFormat="false" ht="19.5" hidden="false" customHeight="true" outlineLevel="0" collapsed="false">
      <c r="B37" s="5" t="s">
        <v>42</v>
      </c>
      <c r="C37" s="6" t="n">
        <v>11</v>
      </c>
      <c r="D37" s="7" t="n">
        <f aca="false">COUNTIF('Kristel Angelica Valerio'!$G$5:$G$15,"*GREEN*")</f>
        <v>0</v>
      </c>
      <c r="E37" s="8" t="n">
        <f aca="false">COUNTIF('Kristel Angelica Valerio'!$G$5:$G$15,"*YELLOW*")</f>
        <v>11</v>
      </c>
      <c r="F37" s="9" t="n">
        <f aca="false">COUNTIF('Kristel Angelica Valerio'!$G$5:$G$15,"*RED*")</f>
        <v>0</v>
      </c>
      <c r="G37" s="10" t="n">
        <f aca="false">COUNTIF('Kristel Angelica Valerio'!$G$5:$G$15,"*BLACK*")</f>
        <v>0</v>
      </c>
      <c r="H37" s="11" t="n">
        <f aca="false">IFERROR((F37+G37)/C37,0)</f>
        <v>0</v>
      </c>
      <c r="I37" s="6" t="n">
        <f aca="false">IFERROR(AVERAGE('Kristel Angelica Valerio'!$S$5:$S$15),0)</f>
        <v>0</v>
      </c>
      <c r="J37" s="6"/>
      <c r="K37" s="6" t="str">
        <f aca="false">IF(G37&gt;0,"🚨 IMMEDIATE",IF(F37&gt;0,"⚠️ HIGH",IF(E37&gt;0,"📋 MONITOR","✅ STABLE")))</f>
        <v>📋 MONITOR</v>
      </c>
    </row>
    <row r="38" customFormat="false" ht="19.5" hidden="false" customHeight="true" outlineLevel="0" collapsed="false">
      <c r="B38" s="13" t="s">
        <v>43</v>
      </c>
      <c r="C38" s="14" t="n">
        <v>20</v>
      </c>
      <c r="D38" s="7" t="n">
        <f aca="false">COUNTIF('Lea Ibag Fernandez'!$G$5:$G$24,"*GREEN*")</f>
        <v>0</v>
      </c>
      <c r="E38" s="8" t="n">
        <f aca="false">COUNTIF('Lea Ibag Fernandez'!$G$5:$G$24,"*YELLOW*")</f>
        <v>20</v>
      </c>
      <c r="F38" s="9" t="n">
        <f aca="false">COUNTIF('Lea Ibag Fernandez'!$G$5:$G$24,"*RED*")</f>
        <v>0</v>
      </c>
      <c r="G38" s="10" t="n">
        <f aca="false">COUNTIF('Lea Ibag Fernandez'!$G$5:$G$24,"*BLACK*")</f>
        <v>0</v>
      </c>
      <c r="H38" s="11" t="n">
        <f aca="false">IFERROR((F38+G38)/C38,0)</f>
        <v>0</v>
      </c>
      <c r="I38" s="6" t="n">
        <f aca="false">IFERROR(AVERAGE('Lea Ibag Fernandez'!$S$5:$S$24),0)</f>
        <v>0</v>
      </c>
      <c r="J38" s="6"/>
      <c r="K38" s="6" t="str">
        <f aca="false">IF(G38&gt;0,"🚨 IMMEDIATE",IF(F38&gt;0,"⚠️ HIGH",IF(E38&gt;0,"📋 MONITOR","✅ STABLE")))</f>
        <v>📋 MONITOR</v>
      </c>
    </row>
    <row r="39" customFormat="false" ht="19.5" hidden="false" customHeight="true" outlineLevel="0" collapsed="false">
      <c r="B39" s="5" t="s">
        <v>44</v>
      </c>
      <c r="C39" s="6" t="n">
        <v>16</v>
      </c>
      <c r="D39" s="7" t="n">
        <f aca="false">COUNTIF('Leah Bernadette Lavalle Bringas'!$G$5:$G$20,"*GREEN*")</f>
        <v>0</v>
      </c>
      <c r="E39" s="8" t="n">
        <f aca="false">COUNTIF('Leah Bernadette Lavalle Bringas'!$G$5:$G$20,"*YELLOW*")</f>
        <v>16</v>
      </c>
      <c r="F39" s="9" t="n">
        <f aca="false">COUNTIF('Leah Bernadette Lavalle Bringas'!$G$5:$G$20,"*RED*")</f>
        <v>0</v>
      </c>
      <c r="G39" s="10" t="n">
        <f aca="false">COUNTIF('Leah Bernadette Lavalle Bringas'!$G$5:$G$20,"*BLACK*")</f>
        <v>0</v>
      </c>
      <c r="H39" s="11" t="n">
        <f aca="false">IFERROR((F39+G39)/C39,0)</f>
        <v>0</v>
      </c>
      <c r="I39" s="6" t="n">
        <f aca="false">IFERROR(AVERAGE('Leah Bernadette Lavalle Bringas'!$S$5:$S$20),0)</f>
        <v>0</v>
      </c>
      <c r="J39" s="6"/>
      <c r="K39" s="6" t="str">
        <f aca="false">IF(G39&gt;0,"🚨 IMMEDIATE",IF(F39&gt;0,"⚠️ HIGH",IF(E39&gt;0,"📋 MONITOR","✅ STABLE")))</f>
        <v>📋 MONITOR</v>
      </c>
    </row>
    <row r="40" customFormat="false" ht="19.5" hidden="false" customHeight="true" outlineLevel="0" collapsed="false">
      <c r="B40" s="13" t="s">
        <v>45</v>
      </c>
      <c r="C40" s="14" t="n">
        <v>2</v>
      </c>
      <c r="D40" s="7" t="n">
        <f aca="false">COUNTIF('Lee Stephen Valde Fat'!$G$5:$G$6,"*GREEN*")</f>
        <v>0</v>
      </c>
      <c r="E40" s="8" t="n">
        <f aca="false">COUNTIF('Lee Stephen Valde Fat'!$G$5:$G$6,"*YELLOW*")</f>
        <v>2</v>
      </c>
      <c r="F40" s="9" t="n">
        <f aca="false">COUNTIF('Lee Stephen Valde Fat'!$G$5:$G$6,"*RED*")</f>
        <v>0</v>
      </c>
      <c r="G40" s="10" t="n">
        <f aca="false">COUNTIF('Lee Stephen Valde Fat'!$G$5:$G$6,"*BLACK*")</f>
        <v>0</v>
      </c>
      <c r="H40" s="11" t="n">
        <f aca="false">IFERROR((F40+G40)/C40,0)</f>
        <v>0</v>
      </c>
      <c r="I40" s="6" t="n">
        <f aca="false">IFERROR(AVERAGE('Lee Stephen Valde Fat'!$S$5:$S$6),0)</f>
        <v>0</v>
      </c>
      <c r="J40" s="6"/>
      <c r="K40" s="6" t="str">
        <f aca="false">IF(G40&gt;0,"🚨 IMMEDIATE",IF(F40&gt;0,"⚠️ HIGH",IF(E40&gt;0,"📋 MONITOR","✅ STABLE")))</f>
        <v>📋 MONITOR</v>
      </c>
    </row>
    <row r="41" customFormat="false" ht="19.5" hidden="false" customHeight="true" outlineLevel="0" collapsed="false">
      <c r="B41" s="5" t="s">
        <v>46</v>
      </c>
      <c r="C41" s="6" t="n">
        <v>3</v>
      </c>
      <c r="D41" s="7" t="n">
        <f aca="false">COUNTIF('Leou Alven Narito Comendador'!$G$5:$G$7,"*GREEN*")</f>
        <v>0</v>
      </c>
      <c r="E41" s="8" t="n">
        <f aca="false">COUNTIF('Leou Alven Narito Comendador'!$G$5:$G$7,"*YELLOW*")</f>
        <v>3</v>
      </c>
      <c r="F41" s="9" t="n">
        <f aca="false">COUNTIF('Leou Alven Narito Comendador'!$G$5:$G$7,"*RED*")</f>
        <v>0</v>
      </c>
      <c r="G41" s="10" t="n">
        <f aca="false">COUNTIF('Leou Alven Narito Comendador'!$G$5:$G$7,"*BLACK*")</f>
        <v>0</v>
      </c>
      <c r="H41" s="11" t="n">
        <f aca="false">IFERROR((F41+G41)/C41,0)</f>
        <v>0</v>
      </c>
      <c r="I41" s="6" t="n">
        <f aca="false">IFERROR(AVERAGE('Leou Alven Narito Comendador'!$S$5:$S$7),0)</f>
        <v>0</v>
      </c>
      <c r="J41" s="6"/>
      <c r="K41" s="6" t="str">
        <f aca="false">IF(G41&gt;0,"🚨 IMMEDIATE",IF(F41&gt;0,"⚠️ HIGH",IF(E41&gt;0,"📋 MONITOR","✅ STABLE")))</f>
        <v>📋 MONITOR</v>
      </c>
    </row>
    <row r="42" customFormat="false" ht="19.5" hidden="false" customHeight="true" outlineLevel="0" collapsed="false">
      <c r="B42" s="13" t="s">
        <v>47</v>
      </c>
      <c r="C42" s="14" t="n">
        <v>19</v>
      </c>
      <c r="D42" s="7" t="n">
        <f aca="false">COUNTIF('Lovely Mae Enot Sacurom'!$G$5:$G$23,"*GREEN*")</f>
        <v>0</v>
      </c>
      <c r="E42" s="8" t="n">
        <f aca="false">COUNTIF('Lovely Mae Enot Sacurom'!$G$5:$G$23,"*YELLOW*")</f>
        <v>19</v>
      </c>
      <c r="F42" s="9" t="n">
        <f aca="false">COUNTIF('Lovely Mae Enot Sacurom'!$G$5:$G$23,"*RED*")</f>
        <v>0</v>
      </c>
      <c r="G42" s="10" t="n">
        <f aca="false">COUNTIF('Lovely Mae Enot Sacurom'!$G$5:$G$23,"*BLACK*")</f>
        <v>0</v>
      </c>
      <c r="H42" s="11" t="n">
        <f aca="false">IFERROR((F42+G42)/C42,0)</f>
        <v>0</v>
      </c>
      <c r="I42" s="6" t="n">
        <f aca="false">IFERROR(AVERAGE('Lovely Mae Enot Sacurom'!$S$5:$S$23),0)</f>
        <v>0</v>
      </c>
      <c r="J42" s="6"/>
      <c r="K42" s="6" t="str">
        <f aca="false">IF(G42&gt;0,"🚨 IMMEDIATE",IF(F42&gt;0,"⚠️ HIGH",IF(E42&gt;0,"📋 MONITOR","✅ STABLE")))</f>
        <v>📋 MONITOR</v>
      </c>
    </row>
    <row r="43" customFormat="false" ht="19.5" hidden="false" customHeight="true" outlineLevel="0" collapsed="false">
      <c r="B43" s="5" t="s">
        <v>48</v>
      </c>
      <c r="C43" s="6" t="n">
        <v>4</v>
      </c>
      <c r="D43" s="7" t="n">
        <f aca="false">COUNTIF('Luis Joel Traverso Rodriguez'!$G$5:$G$8,"*GREEN*")</f>
        <v>0</v>
      </c>
      <c r="E43" s="8" t="n">
        <f aca="false">COUNTIF('Luis Joel Traverso Rodriguez'!$G$5:$G$8,"*YELLOW*")</f>
        <v>4</v>
      </c>
      <c r="F43" s="9" t="n">
        <f aca="false">COUNTIF('Luis Joel Traverso Rodriguez'!$G$5:$G$8,"*RED*")</f>
        <v>0</v>
      </c>
      <c r="G43" s="10" t="n">
        <f aca="false">COUNTIF('Luis Joel Traverso Rodriguez'!$G$5:$G$8,"*BLACK*")</f>
        <v>0</v>
      </c>
      <c r="H43" s="11" t="n">
        <f aca="false">IFERROR((F43+G43)/C43,0)</f>
        <v>0</v>
      </c>
      <c r="I43" s="6" t="n">
        <f aca="false">IFERROR(AVERAGE('Luis Joel Traverso Rodriguez'!$S$5:$S$8),0)</f>
        <v>0</v>
      </c>
      <c r="J43" s="6"/>
      <c r="K43" s="6" t="str">
        <f aca="false">IF(G43&gt;0,"🚨 IMMEDIATE",IF(F43&gt;0,"⚠️ HIGH",IF(E43&gt;0,"📋 MONITOR","✅ STABLE")))</f>
        <v>📋 MONITOR</v>
      </c>
    </row>
    <row r="44" customFormat="false" ht="19.5" hidden="false" customHeight="true" outlineLevel="0" collapsed="false">
      <c r="B44" s="13" t="s">
        <v>49</v>
      </c>
      <c r="C44" s="14" t="n">
        <v>4</v>
      </c>
      <c r="D44" s="7" t="n">
        <f aca="false">COUNTIF('Ma Alleah De Torres Santos'!$G$5:$G$8,"*GREEN*")</f>
        <v>0</v>
      </c>
      <c r="E44" s="8" t="n">
        <f aca="false">COUNTIF('Ma Alleah De Torres Santos'!$G$5:$G$8,"*YELLOW*")</f>
        <v>4</v>
      </c>
      <c r="F44" s="9" t="n">
        <f aca="false">COUNTIF('Ma Alleah De Torres Santos'!$G$5:$G$8,"*RED*")</f>
        <v>0</v>
      </c>
      <c r="G44" s="10" t="n">
        <f aca="false">COUNTIF('Ma Alleah De Torres Santos'!$G$5:$G$8,"*BLACK*")</f>
        <v>0</v>
      </c>
      <c r="H44" s="11" t="n">
        <f aca="false">IFERROR((F44+G44)/C44,0)</f>
        <v>0</v>
      </c>
      <c r="I44" s="6" t="n">
        <f aca="false">IFERROR(AVERAGE('Ma Alleah De Torres Santos'!$S$5:$S$8),0)</f>
        <v>0</v>
      </c>
      <c r="J44" s="6"/>
      <c r="K44" s="6" t="str">
        <f aca="false">IF(G44&gt;0,"🚨 IMMEDIATE",IF(F44&gt;0,"⚠️ HIGH",IF(E44&gt;0,"📋 MONITOR","✅ STABLE")))</f>
        <v>📋 MONITOR</v>
      </c>
    </row>
    <row r="45" customFormat="false" ht="19.5" hidden="false" customHeight="true" outlineLevel="0" collapsed="false">
      <c r="B45" s="5" t="s">
        <v>50</v>
      </c>
      <c r="C45" s="6" t="n">
        <v>3</v>
      </c>
      <c r="D45" s="7" t="n">
        <f aca="false">COUNTIF('Maria Theresa Oliva Valenciano'!$G$5:$G$7,"*GREEN*")</f>
        <v>0</v>
      </c>
      <c r="E45" s="8" t="n">
        <f aca="false">COUNTIF('Maria Theresa Oliva Valenciano'!$G$5:$G$7,"*YELLOW*")</f>
        <v>3</v>
      </c>
      <c r="F45" s="9" t="n">
        <f aca="false">COUNTIF('Maria Theresa Oliva Valenciano'!$G$5:$G$7,"*RED*")</f>
        <v>0</v>
      </c>
      <c r="G45" s="10" t="n">
        <f aca="false">COUNTIF('Maria Theresa Oliva Valenciano'!$G$5:$G$7,"*BLACK*")</f>
        <v>0</v>
      </c>
      <c r="H45" s="11" t="n">
        <f aca="false">IFERROR((F45+G45)/C45,0)</f>
        <v>0</v>
      </c>
      <c r="I45" s="6" t="n">
        <f aca="false">IFERROR(AVERAGE('Maria Theresa Oliva Valenciano'!$S$5:$S$7),0)</f>
        <v>0</v>
      </c>
      <c r="J45" s="6"/>
      <c r="K45" s="6" t="str">
        <f aca="false">IF(G45&gt;0,"🚨 IMMEDIATE",IF(F45&gt;0,"⚠️ HIGH",IF(E45&gt;0,"📋 MONITOR","✅ STABLE")))</f>
        <v>📋 MONITOR</v>
      </c>
    </row>
    <row r="46" customFormat="false" ht="19.5" hidden="false" customHeight="true" outlineLevel="0" collapsed="false">
      <c r="B46" s="13" t="s">
        <v>51</v>
      </c>
      <c r="C46" s="14" t="n">
        <v>18</v>
      </c>
      <c r="D46" s="7" t="n">
        <f aca="false">COUNTIF('Mistica Dela Cruz'!$G$5:$G$22,"*GREEN*")</f>
        <v>0</v>
      </c>
      <c r="E46" s="8" t="n">
        <f aca="false">COUNTIF('Mistica Dela Cruz'!$G$5:$G$22,"*YELLOW*")</f>
        <v>18</v>
      </c>
      <c r="F46" s="9" t="n">
        <f aca="false">COUNTIF('Mistica Dela Cruz'!$G$5:$G$22,"*RED*")</f>
        <v>0</v>
      </c>
      <c r="G46" s="10" t="n">
        <f aca="false">COUNTIF('Mistica Dela Cruz'!$G$5:$G$22,"*BLACK*")</f>
        <v>0</v>
      </c>
      <c r="H46" s="11" t="n">
        <f aca="false">IFERROR((F46+G46)/C46,0)</f>
        <v>0</v>
      </c>
      <c r="I46" s="6" t="n">
        <f aca="false">IFERROR(AVERAGE('Mistica Dela Cruz'!$S$5:$S$22),0)</f>
        <v>0</v>
      </c>
      <c r="J46" s="6"/>
      <c r="K46" s="6" t="str">
        <f aca="false">IF(G46&gt;0,"🚨 IMMEDIATE",IF(F46&gt;0,"⚠️ HIGH",IF(E46&gt;0,"📋 MONITOR","✅ STABLE")))</f>
        <v>📋 MONITOR</v>
      </c>
    </row>
    <row r="47" customFormat="false" ht="19.5" hidden="false" customHeight="true" outlineLevel="0" collapsed="false">
      <c r="B47" s="5" t="s">
        <v>52</v>
      </c>
      <c r="C47" s="6" t="n">
        <v>13</v>
      </c>
      <c r="D47" s="7" t="n">
        <f aca="false">COUNTIF('Osmari Rodriguez'!$G$5:$G$17,"*GREEN*")</f>
        <v>0</v>
      </c>
      <c r="E47" s="8" t="n">
        <f aca="false">COUNTIF('Osmari Rodriguez'!$G$5:$G$17,"*YELLOW*")</f>
        <v>13</v>
      </c>
      <c r="F47" s="9" t="n">
        <f aca="false">COUNTIF('Osmari Rodriguez'!$G$5:$G$17,"*RED*")</f>
        <v>0</v>
      </c>
      <c r="G47" s="10" t="n">
        <f aca="false">COUNTIF('Osmari Rodriguez'!$G$5:$G$17,"*BLACK*")</f>
        <v>0</v>
      </c>
      <c r="H47" s="11" t="n">
        <f aca="false">IFERROR((F47+G47)/C47,0)</f>
        <v>0</v>
      </c>
      <c r="I47" s="6" t="n">
        <f aca="false">IFERROR(AVERAGE('Osmari Rodriguez'!$S$5:$S$17),0)</f>
        <v>0</v>
      </c>
      <c r="J47" s="6"/>
      <c r="K47" s="6" t="str">
        <f aca="false">IF(G47&gt;0,"🚨 IMMEDIATE",IF(F47&gt;0,"⚠️ HIGH",IF(E47&gt;0,"📋 MONITOR","✅ STABLE")))</f>
        <v>📋 MONITOR</v>
      </c>
    </row>
    <row r="48" customFormat="false" ht="19.5" hidden="false" customHeight="true" outlineLevel="0" collapsed="false">
      <c r="B48" s="13" t="s">
        <v>53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customFormat="false" ht="19.5" hidden="false" customHeight="true" outlineLevel="0" collapsed="false">
      <c r="B49" s="5" t="s">
        <v>54</v>
      </c>
      <c r="C49" s="6" t="n">
        <v>18</v>
      </c>
      <c r="D49" s="7" t="n">
        <f aca="false">COUNTIF('Rinagine Landiza Paurillo'!$G$5:$G$22,"*GREEN*")</f>
        <v>0</v>
      </c>
      <c r="E49" s="8" t="n">
        <f aca="false">COUNTIF('Rinagine Landiza Paurillo'!$G$5:$G$22,"*YELLOW*")</f>
        <v>18</v>
      </c>
      <c r="F49" s="9" t="n">
        <f aca="false">COUNTIF('Rinagine Landiza Paurillo'!$G$5:$G$22,"*RED*")</f>
        <v>0</v>
      </c>
      <c r="G49" s="10" t="n">
        <f aca="false">COUNTIF('Rinagine Landiza Paurillo'!$G$5:$G$22,"*BLACK*")</f>
        <v>0</v>
      </c>
      <c r="H49" s="11" t="n">
        <f aca="false">IFERROR((F49+G49)/C49,0)</f>
        <v>0</v>
      </c>
      <c r="I49" s="6" t="n">
        <f aca="false">IFERROR(AVERAGE('Rinagine Landiza Paurillo'!$S$5:$S$22),0)</f>
        <v>0</v>
      </c>
      <c r="J49" s="6"/>
      <c r="K49" s="6" t="str">
        <f aca="false">IF(G49&gt;0,"🚨 IMMEDIATE",IF(F49&gt;0,"⚠️ HIGH",IF(E49&gt;0,"📋 MONITOR","✅ STABLE")))</f>
        <v>📋 MONITOR</v>
      </c>
    </row>
    <row r="50" customFormat="false" ht="19.5" hidden="false" customHeight="true" outlineLevel="0" collapsed="false">
      <c r="B50" s="13" t="s">
        <v>55</v>
      </c>
      <c r="C50" s="14" t="n">
        <v>15</v>
      </c>
      <c r="D50" s="7" t="n">
        <f aca="false">COUNTIF('Robert Castillo Santos'!$G$5:$G$19,"*GREEN*")</f>
        <v>0</v>
      </c>
      <c r="E50" s="8" t="n">
        <f aca="false">COUNTIF('Robert Castillo Santos'!$G$5:$G$19,"*YELLOW*")</f>
        <v>15</v>
      </c>
      <c r="F50" s="9" t="n">
        <f aca="false">COUNTIF('Robert Castillo Santos'!$G$5:$G$19,"*RED*")</f>
        <v>0</v>
      </c>
      <c r="G50" s="10" t="n">
        <f aca="false">COUNTIF('Robert Castillo Santos'!$G$5:$G$19,"*BLACK*")</f>
        <v>0</v>
      </c>
      <c r="H50" s="11" t="n">
        <f aca="false">IFERROR((F50+G50)/C50,0)</f>
        <v>0</v>
      </c>
      <c r="I50" s="6" t="n">
        <f aca="false">IFERROR(AVERAGE('Robert Castillo Santos'!$S$5:$S$19),0)</f>
        <v>0</v>
      </c>
      <c r="J50" s="6"/>
      <c r="K50" s="6" t="str">
        <f aca="false">IF(G50&gt;0,"🚨 IMMEDIATE",IF(F50&gt;0,"⚠️ HIGH",IF(E50&gt;0,"📋 MONITOR","✅ STABLE")))</f>
        <v>📋 MONITOR</v>
      </c>
    </row>
    <row r="51" customFormat="false" ht="19.5" hidden="false" customHeight="true" outlineLevel="0" collapsed="false">
      <c r="B51" s="5" t="s">
        <v>56</v>
      </c>
      <c r="C51" s="6" t="n">
        <v>4</v>
      </c>
      <c r="D51" s="7" t="n">
        <f aca="false">COUNTIF('Rosauro Gabo Misayah'!$G$5:$G$8,"*GREEN*")</f>
        <v>0</v>
      </c>
      <c r="E51" s="8" t="n">
        <f aca="false">COUNTIF('Rosauro Gabo Misayah'!$G$5:$G$8,"*YELLOW*")</f>
        <v>4</v>
      </c>
      <c r="F51" s="9" t="n">
        <f aca="false">COUNTIF('Rosauro Gabo Misayah'!$G$5:$G$8,"*RED*")</f>
        <v>0</v>
      </c>
      <c r="G51" s="10" t="n">
        <f aca="false">COUNTIF('Rosauro Gabo Misayah'!$G$5:$G$8,"*BLACK*")</f>
        <v>0</v>
      </c>
      <c r="H51" s="11" t="n">
        <f aca="false">IFERROR((F51+G51)/C51,0)</f>
        <v>0</v>
      </c>
      <c r="I51" s="6" t="n">
        <f aca="false">IFERROR(AVERAGE('Rosauro Gabo Misayah'!$S$5:$S$8),0)</f>
        <v>0</v>
      </c>
      <c r="J51" s="6"/>
      <c r="K51" s="6" t="str">
        <f aca="false">IF(G51&gt;0,"🚨 IMMEDIATE",IF(F51&gt;0,"⚠️ HIGH",IF(E51&gt;0,"📋 MONITOR","✅ STABLE")))</f>
        <v>📋 MONITOR</v>
      </c>
    </row>
    <row r="52" customFormat="false" ht="19.5" hidden="false" customHeight="true" outlineLevel="0" collapsed="false">
      <c r="B52" s="13" t="s">
        <v>57</v>
      </c>
      <c r="C52" s="14" t="n">
        <v>19</v>
      </c>
      <c r="D52" s="7" t="n">
        <f aca="false">COUNTIF('Sheena Estorba Lucresia'!$G$5:$G$23,"*GREEN*")</f>
        <v>0</v>
      </c>
      <c r="E52" s="8" t="n">
        <f aca="false">COUNTIF('Sheena Estorba Lucresia'!$G$5:$G$23,"*YELLOW*")</f>
        <v>19</v>
      </c>
      <c r="F52" s="9" t="n">
        <f aca="false">COUNTIF('Sheena Estorba Lucresia'!$G$5:$G$23,"*RED*")</f>
        <v>0</v>
      </c>
      <c r="G52" s="10" t="n">
        <f aca="false">COUNTIF('Sheena Estorba Lucresia'!$G$5:$G$23,"*BLACK*")</f>
        <v>0</v>
      </c>
      <c r="H52" s="11" t="n">
        <f aca="false">IFERROR((F52+G52)/C52,0)</f>
        <v>0</v>
      </c>
      <c r="I52" s="6" t="n">
        <f aca="false">IFERROR(AVERAGE('Sheena Estorba Lucresia'!$S$5:$S$23),0)</f>
        <v>0</v>
      </c>
      <c r="J52" s="6"/>
      <c r="K52" s="6" t="str">
        <f aca="false">IF(G52&gt;0,"🚨 IMMEDIATE",IF(F52&gt;0,"⚠️ HIGH",IF(E52&gt;0,"📋 MONITOR","✅ STABLE")))</f>
        <v>📋 MONITOR</v>
      </c>
    </row>
    <row r="53" customFormat="false" ht="19.5" hidden="false" customHeight="true" outlineLevel="0" collapsed="false">
      <c r="B53" s="5" t="s">
        <v>58</v>
      </c>
      <c r="C53" s="6" t="n">
        <v>19</v>
      </c>
      <c r="D53" s="7" t="n">
        <f aca="false">COUNTIF('Victor Jr Cabriles Fuentenegra'!$G$5:$G$23,"*GREEN*")</f>
        <v>0</v>
      </c>
      <c r="E53" s="8" t="n">
        <f aca="false">COUNTIF('Victor Jr Cabriles Fuentenegra'!$G$5:$G$23,"*YELLOW*")</f>
        <v>19</v>
      </c>
      <c r="F53" s="9" t="n">
        <f aca="false">COUNTIF('Victor Jr Cabriles Fuentenegra'!$G$5:$G$23,"*RED*")</f>
        <v>0</v>
      </c>
      <c r="G53" s="10" t="n">
        <f aca="false">COUNTIF('Victor Jr Cabriles Fuentenegra'!$G$5:$G$23,"*BLACK*")</f>
        <v>0</v>
      </c>
      <c r="H53" s="11" t="n">
        <f aca="false">IFERROR((F53+G53)/C53,0)</f>
        <v>0</v>
      </c>
      <c r="I53" s="6" t="n">
        <f aca="false">IFERROR(AVERAGE('Victor Jr Cabriles Fuentenegra'!$S$5:$S$23),0)</f>
        <v>0</v>
      </c>
      <c r="J53" s="6"/>
      <c r="K53" s="6" t="str">
        <f aca="false">IF(G53&gt;0,"🚨 IMMEDIATE",IF(F53&gt;0,"⚠️ HIGH",IF(E53&gt;0,"📋 MONITOR","✅ STABLE")))</f>
        <v>📋 MONITOR</v>
      </c>
    </row>
    <row r="54" customFormat="false" ht="21.75" hidden="false" customHeight="true" outlineLevel="0" collapsed="false">
      <c r="B54" s="16" t="s">
        <v>59</v>
      </c>
      <c r="C54" s="17" t="n">
        <f aca="false">SUM(C7:C53)</f>
        <v>566</v>
      </c>
      <c r="D54" s="17" t="n">
        <f aca="false">SUM(D7:D53)</f>
        <v>0</v>
      </c>
      <c r="E54" s="17" t="n">
        <f aca="false">SUM(E7:E53)</f>
        <v>589</v>
      </c>
      <c r="F54" s="17" t="n">
        <f aca="false">SUM(F7:F53)</f>
        <v>0</v>
      </c>
      <c r="G54" s="17" t="n">
        <f aca="false">SUM(G7:G53)</f>
        <v>0</v>
      </c>
      <c r="H54" s="18" t="n">
        <f aca="false">IFERROR((SUM(F7:F53)+SUM(G7:G53))/SUM(C7:C53),0)</f>
        <v>0</v>
      </c>
      <c r="I54" s="17" t="n">
        <f aca="false">IFERROR(AVERAGE(I7:I53),0)</f>
        <v>0</v>
      </c>
    </row>
    <row r="55" customFormat="false" ht="18" hidden="false" customHeight="true" outlineLevel="0" collapsed="false"/>
    <row r="56" customFormat="false" ht="18" hidden="false" customHeight="true" outlineLevel="0" collapsed="false">
      <c r="B56" s="19" t="s">
        <v>60</v>
      </c>
      <c r="C56" s="20"/>
      <c r="D56" s="20"/>
      <c r="E56" s="21" t="s">
        <v>61</v>
      </c>
      <c r="F56" s="20"/>
      <c r="G56" s="22" t="s">
        <v>62</v>
      </c>
      <c r="H56" s="20"/>
      <c r="I56" s="23" t="s">
        <v>63</v>
      </c>
      <c r="J56" s="20"/>
      <c r="K56" s="24" t="s">
        <v>64</v>
      </c>
      <c r="L56" s="20"/>
    </row>
    <row r="57" customFormat="false" ht="18" hidden="false" customHeight="true" outlineLevel="0" collapsed="false">
      <c r="B57" s="25" t="n">
        <f aca="false">C54</f>
        <v>566</v>
      </c>
      <c r="C57" s="26"/>
      <c r="D57" s="26"/>
      <c r="E57" s="27" t="n">
        <f aca="false">D54</f>
        <v>0</v>
      </c>
      <c r="F57" s="26"/>
      <c r="G57" s="28" t="n">
        <f aca="false">E54</f>
        <v>589</v>
      </c>
      <c r="H57" s="26"/>
      <c r="I57" s="29" t="n">
        <f aca="false">F54</f>
        <v>0</v>
      </c>
      <c r="J57" s="26"/>
      <c r="K57" s="30" t="n">
        <f aca="false">G54</f>
        <v>0</v>
      </c>
      <c r="L57" s="26"/>
    </row>
    <row r="58" customFormat="false" ht="18" hidden="false" customHeight="true" outlineLevel="0" collapsed="false"/>
    <row r="59" customFormat="false" ht="18" hidden="false" customHeight="true" outlineLevel="0" collapsed="false">
      <c r="B59" s="31" t="s">
        <v>65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2" customFormat="false" ht="17.25" hidden="false" customHeight="true" outlineLevel="0" collapsed="false">
      <c r="B62" s="33" t="s">
        <v>66</v>
      </c>
    </row>
    <row r="63" customFormat="false" ht="30" hidden="false" customHeight="true" outlineLevel="0" collapsed="false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customFormat="false" ht="4.5" hidden="false" customHeight="true" outlineLevel="0" collapsed="false">
      <c r="B64" s="35" t="s">
        <v>67</v>
      </c>
      <c r="C64" s="17" t="s">
        <v>68</v>
      </c>
      <c r="D64" s="17" t="s">
        <v>69</v>
      </c>
      <c r="E64" s="17" t="s">
        <v>70</v>
      </c>
      <c r="F64" s="17" t="s">
        <v>71</v>
      </c>
      <c r="G64" s="17" t="s">
        <v>72</v>
      </c>
      <c r="H64" s="17" t="s">
        <v>73</v>
      </c>
      <c r="I64" s="17" t="s">
        <v>74</v>
      </c>
      <c r="J64" s="17" t="s">
        <v>75</v>
      </c>
      <c r="K64" s="17" t="s">
        <v>76</v>
      </c>
      <c r="L64" s="17" t="s">
        <v>77</v>
      </c>
      <c r="M64" s="17" t="s">
        <v>78</v>
      </c>
      <c r="N64" s="17" t="s">
        <v>79</v>
      </c>
    </row>
    <row r="65" customFormat="false" ht="27.75" hidden="false" customHeight="true" outlineLevel="0" collapsed="false">
      <c r="B65" s="36" t="s">
        <v>80</v>
      </c>
      <c r="C65" s="37" t="n">
        <v>640</v>
      </c>
      <c r="D65" s="37" t="n">
        <v>629</v>
      </c>
      <c r="E65" s="37" t="n">
        <v>602</v>
      </c>
      <c r="F65" s="37" t="n">
        <v>550</v>
      </c>
      <c r="G65" s="37" t="n">
        <v>0</v>
      </c>
      <c r="H65" s="37" t="n">
        <v>0</v>
      </c>
      <c r="I65" s="37" t="n">
        <v>0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</row>
    <row r="66" customFormat="false" ht="18" hidden="false" customHeight="true" outlineLevel="0" collapsed="false">
      <c r="B66" s="38" t="s">
        <v>81</v>
      </c>
      <c r="C66" s="39" t="n">
        <v>0</v>
      </c>
      <c r="D66" s="39" t="n">
        <v>0</v>
      </c>
      <c r="E66" s="39" t="n">
        <v>0</v>
      </c>
      <c r="F66" s="39" t="n">
        <v>0</v>
      </c>
      <c r="G66" s="39" t="n">
        <v>0</v>
      </c>
      <c r="H66" s="39" t="n">
        <v>0</v>
      </c>
      <c r="I66" s="39" t="n">
        <v>0</v>
      </c>
      <c r="J66" s="39" t="n">
        <v>0</v>
      </c>
      <c r="K66" s="39" t="n">
        <v>0</v>
      </c>
      <c r="L66" s="39" t="n">
        <v>0</v>
      </c>
      <c r="M66" s="39" t="n">
        <v>0</v>
      </c>
      <c r="N66" s="39" t="n">
        <v>0</v>
      </c>
    </row>
    <row r="67" customFormat="false" ht="18" hidden="false" customHeight="true" outlineLevel="0" collapsed="false">
      <c r="B67" s="40" t="s">
        <v>82</v>
      </c>
      <c r="C67" s="41" t="n">
        <v>0</v>
      </c>
      <c r="D67" s="41" t="n">
        <v>0</v>
      </c>
      <c r="E67" s="41" t="n">
        <v>0</v>
      </c>
      <c r="F67" s="41" t="n">
        <v>1</v>
      </c>
      <c r="G67" s="41" t="n">
        <v>0</v>
      </c>
      <c r="H67" s="41" t="n">
        <v>0</v>
      </c>
      <c r="I67" s="41" t="n">
        <v>0</v>
      </c>
      <c r="J67" s="41" t="n">
        <v>0</v>
      </c>
      <c r="K67" s="41" t="n">
        <v>0</v>
      </c>
      <c r="L67" s="41" t="n">
        <v>0</v>
      </c>
      <c r="M67" s="41" t="n">
        <v>0</v>
      </c>
      <c r="N67" s="41" t="n">
        <v>0</v>
      </c>
    </row>
    <row r="68" customFormat="false" ht="18" hidden="false" customHeight="true" outlineLevel="0" collapsed="false">
      <c r="B68" s="38" t="s">
        <v>83</v>
      </c>
      <c r="C68" s="39" t="n">
        <v>0</v>
      </c>
      <c r="D68" s="39" t="n">
        <v>0</v>
      </c>
      <c r="E68" s="39" t="n">
        <v>6</v>
      </c>
      <c r="F68" s="39" t="n">
        <v>5</v>
      </c>
      <c r="G68" s="39" t="n">
        <v>0</v>
      </c>
      <c r="H68" s="39" t="n">
        <v>0</v>
      </c>
      <c r="I68" s="39" t="n">
        <v>0</v>
      </c>
      <c r="J68" s="39" t="n">
        <v>0</v>
      </c>
      <c r="K68" s="39" t="n">
        <v>0</v>
      </c>
      <c r="L68" s="39" t="n">
        <v>0</v>
      </c>
      <c r="M68" s="39" t="n">
        <v>0</v>
      </c>
      <c r="N68" s="39" t="n">
        <v>0</v>
      </c>
    </row>
    <row r="69" customFormat="false" ht="18" hidden="false" customHeight="true" outlineLevel="0" collapsed="false">
      <c r="B69" s="42" t="s">
        <v>84</v>
      </c>
      <c r="C69" s="43" t="n">
        <f aca="false">SUMPRODUCT((MONTH('⚫ Confirmed Attrition'!$G$5:$G$1000)=1)*(YEAR('⚫ Confirmed Attrition'!$G$5:$G$1000)=2026)*('⚫ Confirmed Attrition'!$D$5:$D$1000&lt;&gt;""))</f>
        <v>0</v>
      </c>
      <c r="D69" s="43" t="n">
        <f aca="false">SUMPRODUCT((MONTH('⚫ Confirmed Attrition'!$G$5:$G$1000)=2)*(YEAR('⚫ Confirmed Attrition'!$G$5:$G$1000)=2026)*('⚫ Confirmed Attrition'!$D$5:$D$1000&lt;&gt;""))</f>
        <v>0</v>
      </c>
      <c r="E69" s="43" t="n">
        <f aca="false">SUMPRODUCT((MONTH('⚫ Confirmed Attrition'!$G$5:$G$1000)=3)*(YEAR('⚫ Confirmed Attrition'!$G$5:$G$1000)=2026)*('⚫ Confirmed Attrition'!$D$5:$D$1000&lt;&gt;""))</f>
        <v>0</v>
      </c>
      <c r="F69" s="43" t="n">
        <f aca="false">SUMPRODUCT((MONTH('⚫ Confirmed Attrition'!$G$5:$G$1000)=4)*(YEAR('⚫ Confirmed Attrition'!$G$5:$G$1000)=2026)*('⚫ Confirmed Attrition'!$D$5:$D$1000&lt;&gt;""))</f>
        <v>0</v>
      </c>
      <c r="G69" s="43" t="n">
        <f aca="false">SUMPRODUCT((MONTH('⚫ Confirmed Attrition'!$G$5:$G$1000)=5)*(YEAR('⚫ Confirmed Attrition'!$G$5:$G$1000)=2026)*('⚫ Confirmed Attrition'!$D$5:$D$1000&lt;&gt;""))</f>
        <v>0</v>
      </c>
      <c r="H69" s="43" t="n">
        <f aca="false">SUMPRODUCT((MONTH('⚫ Confirmed Attrition'!$G$5:$G$1000)=6)*(YEAR('⚫ Confirmed Attrition'!$G$5:$G$1000)=2026)*('⚫ Confirmed Attrition'!$D$5:$D$1000&lt;&gt;""))</f>
        <v>0</v>
      </c>
      <c r="I69" s="43" t="n">
        <f aca="false">SUMPRODUCT((MONTH('⚫ Confirmed Attrition'!$G$5:$G$1000)=7)*(YEAR('⚫ Confirmed Attrition'!$G$5:$G$1000)=2026)*('⚫ Confirmed Attrition'!$D$5:$D$1000&lt;&gt;""))</f>
        <v>0</v>
      </c>
      <c r="J69" s="43" t="n">
        <f aca="false">SUMPRODUCT((MONTH('⚫ Confirmed Attrition'!$G$5:$G$1000)=8)*(YEAR('⚫ Confirmed Attrition'!$G$5:$G$1000)=2026)*('⚫ Confirmed Attrition'!$D$5:$D$1000&lt;&gt;""))</f>
        <v>0</v>
      </c>
      <c r="K69" s="43" t="n">
        <f aca="false">SUMPRODUCT((MONTH('⚫ Confirmed Attrition'!$G$5:$G$1000)=9)*(YEAR('⚫ Confirmed Attrition'!$G$5:$G$1000)=2026)*('⚫ Confirmed Attrition'!$D$5:$D$1000&lt;&gt;""))</f>
        <v>0</v>
      </c>
      <c r="L69" s="43" t="n">
        <f aca="false">SUMPRODUCT((MONTH('⚫ Confirmed Attrition'!$G$5:$G$1000)=10)*(YEAR('⚫ Confirmed Attrition'!$G$5:$G$1000)=2026)*('⚫ Confirmed Attrition'!$D$5:$D$1000&lt;&gt;""))</f>
        <v>0</v>
      </c>
      <c r="M69" s="43" t="n">
        <f aca="false">SUMPRODUCT((MONTH('⚫ Confirmed Attrition'!$G$5:$G$1000)=11)*(YEAR('⚫ Confirmed Attrition'!$G$5:$G$1000)=2026)*('⚫ Confirmed Attrition'!$D$5:$D$1000&lt;&gt;""))</f>
        <v>0</v>
      </c>
      <c r="N69" s="43" t="n">
        <f aca="false">SUMPRODUCT((MONTH('⚫ Confirmed Attrition'!$G$5:$G$1000)=12)*(YEAR('⚫ Confirmed Attrition'!$G$5:$G$1000)=2026)*('⚫ Confirmed Attrition'!$D$5:$D$1000&lt;&gt;""))</f>
        <v>0</v>
      </c>
    </row>
    <row r="70" customFormat="false" ht="18" hidden="false" customHeight="true" outlineLevel="0" collapsed="false">
      <c r="B70" s="44" t="s">
        <v>85</v>
      </c>
      <c r="C70" s="45" t="n">
        <v>15</v>
      </c>
      <c r="D70" s="45" t="n">
        <v>16</v>
      </c>
      <c r="E70" s="45" t="n">
        <v>6</v>
      </c>
      <c r="F70" s="45" t="n">
        <v>3</v>
      </c>
      <c r="G70" s="45" t="n">
        <v>0</v>
      </c>
      <c r="H70" s="45" t="n">
        <v>0</v>
      </c>
      <c r="I70" s="45" t="n">
        <v>0</v>
      </c>
      <c r="J70" s="45" t="n">
        <v>0</v>
      </c>
      <c r="K70" s="45" t="n">
        <v>0</v>
      </c>
      <c r="L70" s="45" t="n">
        <v>0</v>
      </c>
      <c r="M70" s="45" t="n">
        <v>0</v>
      </c>
      <c r="N70" s="45" t="n">
        <v>0</v>
      </c>
    </row>
    <row r="71" customFormat="false" ht="18" hidden="false" customHeight="true" outlineLevel="0" collapsed="false">
      <c r="B71" s="44" t="s">
        <v>86</v>
      </c>
      <c r="C71" s="45" t="n">
        <v>6</v>
      </c>
      <c r="D71" s="45" t="n">
        <v>15</v>
      </c>
      <c r="E71" s="45" t="n">
        <v>38</v>
      </c>
      <c r="F71" s="45" t="n">
        <v>1</v>
      </c>
      <c r="G71" s="45" t="n">
        <v>0</v>
      </c>
      <c r="H71" s="45" t="n">
        <v>0</v>
      </c>
      <c r="I71" s="45" t="n">
        <v>0</v>
      </c>
      <c r="J71" s="45" t="n">
        <v>0</v>
      </c>
      <c r="K71" s="45" t="n">
        <v>0</v>
      </c>
      <c r="L71" s="45" t="n">
        <v>0</v>
      </c>
      <c r="M71" s="45" t="n">
        <v>0</v>
      </c>
      <c r="N71" s="45" t="n">
        <v>0</v>
      </c>
    </row>
    <row r="72" customFormat="false" ht="18" hidden="false" customHeight="true" outlineLevel="0" collapsed="false">
      <c r="B72" s="44" t="s">
        <v>87</v>
      </c>
      <c r="C72" s="45" t="n">
        <v>0</v>
      </c>
      <c r="D72" s="45" t="n">
        <v>0</v>
      </c>
      <c r="E72" s="45" t="n">
        <v>2</v>
      </c>
      <c r="F72" s="45" t="n">
        <v>1</v>
      </c>
      <c r="G72" s="45" t="n">
        <v>0</v>
      </c>
      <c r="H72" s="45" t="n">
        <v>0</v>
      </c>
      <c r="I72" s="45" t="n">
        <v>0</v>
      </c>
      <c r="J72" s="45" t="n">
        <v>0</v>
      </c>
      <c r="K72" s="45" t="n">
        <v>0</v>
      </c>
      <c r="L72" s="45" t="n">
        <v>0</v>
      </c>
      <c r="M72" s="45" t="n">
        <v>0</v>
      </c>
      <c r="N72" s="45" t="n">
        <v>0</v>
      </c>
    </row>
    <row r="73" customFormat="false" ht="18" hidden="false" customHeight="true" outlineLevel="0" collapsed="false">
      <c r="B73" s="36" t="s">
        <v>88</v>
      </c>
      <c r="C73" s="37" t="n">
        <v>619</v>
      </c>
      <c r="D73" s="37" t="n">
        <v>598</v>
      </c>
      <c r="E73" s="37" t="n">
        <v>556</v>
      </c>
      <c r="F73" s="37" t="n">
        <v>545</v>
      </c>
      <c r="G73" s="37" t="n">
        <v>0</v>
      </c>
      <c r="H73" s="37" t="n">
        <v>0</v>
      </c>
      <c r="I73" s="37" t="n">
        <v>0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</row>
    <row r="74" customFormat="false" ht="18" hidden="false" customHeight="true" outlineLevel="0" collapsed="false"/>
    <row r="76" customFormat="false" ht="27.75" hidden="false" customHeight="true" outlineLevel="0" collapsed="false">
      <c r="B76" s="46" t="s">
        <v>89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</row>
    <row r="77" customFormat="false" ht="3.75" hidden="false" customHeight="true" outlineLevel="0" collapsed="false"/>
    <row r="78" customFormat="false" ht="25.5" hidden="false" customHeight="true" outlineLevel="0" collapsed="false">
      <c r="B78" s="47" t="s">
        <v>12</v>
      </c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customFormat="false" ht="18" hidden="false" customHeight="true" outlineLevel="0" collapsed="false">
      <c r="B79" s="36" t="s">
        <v>80</v>
      </c>
      <c r="C79" s="37" t="n">
        <v>25</v>
      </c>
      <c r="D79" s="37" t="n">
        <v>0</v>
      </c>
      <c r="E79" s="37" t="n">
        <v>0</v>
      </c>
      <c r="F79" s="37" t="n">
        <v>0</v>
      </c>
      <c r="G79" s="37" t="n">
        <v>0</v>
      </c>
      <c r="H79" s="37" t="n">
        <v>0</v>
      </c>
      <c r="I79" s="37" t="n">
        <v>0</v>
      </c>
      <c r="J79" s="37" t="n">
        <v>0</v>
      </c>
      <c r="K79" s="37" t="n">
        <v>0</v>
      </c>
      <c r="L79" s="37" t="n">
        <v>0</v>
      </c>
      <c r="M79" s="37" t="n">
        <v>0</v>
      </c>
      <c r="N79" s="37" t="n">
        <v>0</v>
      </c>
    </row>
    <row r="80" customFormat="false" ht="18" hidden="false" customHeight="true" outlineLevel="0" collapsed="false">
      <c r="B80" s="38" t="s">
        <v>81</v>
      </c>
      <c r="C80" s="39" t="n">
        <v>0</v>
      </c>
      <c r="D80" s="39" t="n">
        <v>0</v>
      </c>
      <c r="E80" s="39" t="n">
        <v>0</v>
      </c>
      <c r="F80" s="39" t="n">
        <v>0</v>
      </c>
      <c r="G80" s="39" t="n">
        <v>0</v>
      </c>
      <c r="H80" s="39" t="n">
        <v>0</v>
      </c>
      <c r="I80" s="39" t="n">
        <v>0</v>
      </c>
      <c r="J80" s="39" t="n">
        <v>0</v>
      </c>
      <c r="K80" s="39" t="n">
        <v>0</v>
      </c>
      <c r="L80" s="39" t="n">
        <v>0</v>
      </c>
      <c r="M80" s="39" t="n">
        <v>0</v>
      </c>
      <c r="N80" s="39" t="n">
        <v>0</v>
      </c>
    </row>
    <row r="81" customFormat="false" ht="18" hidden="false" customHeight="true" outlineLevel="0" collapsed="false">
      <c r="B81" s="40" t="s">
        <v>82</v>
      </c>
      <c r="C81" s="41" t="n">
        <v>0</v>
      </c>
      <c r="D81" s="41" t="n">
        <v>0</v>
      </c>
      <c r="E81" s="41" t="n">
        <v>0</v>
      </c>
      <c r="F81" s="41" t="n">
        <v>0</v>
      </c>
      <c r="G81" s="41" t="n">
        <v>0</v>
      </c>
      <c r="H81" s="41" t="n">
        <v>0</v>
      </c>
      <c r="I81" s="41" t="n">
        <v>0</v>
      </c>
      <c r="J81" s="41" t="n">
        <v>0</v>
      </c>
      <c r="K81" s="41" t="n">
        <v>0</v>
      </c>
      <c r="L81" s="41" t="n">
        <v>0</v>
      </c>
      <c r="M81" s="41" t="n">
        <v>0</v>
      </c>
      <c r="N81" s="41" t="n">
        <v>0</v>
      </c>
    </row>
    <row r="82" customFormat="false" ht="18" hidden="false" customHeight="true" outlineLevel="0" collapsed="false">
      <c r="B82" s="38" t="s">
        <v>83</v>
      </c>
      <c r="C82" s="39" t="n">
        <v>0</v>
      </c>
      <c r="D82" s="39" t="n">
        <v>0</v>
      </c>
      <c r="E82" s="39" t="n">
        <v>0</v>
      </c>
      <c r="F82" s="39" t="n">
        <v>0</v>
      </c>
      <c r="G82" s="39" t="n">
        <v>0</v>
      </c>
      <c r="H82" s="39" t="n">
        <v>0</v>
      </c>
      <c r="I82" s="39" t="n">
        <v>0</v>
      </c>
      <c r="J82" s="39" t="n">
        <v>0</v>
      </c>
      <c r="K82" s="39" t="n">
        <v>0</v>
      </c>
      <c r="L82" s="39" t="n">
        <v>0</v>
      </c>
      <c r="M82" s="39" t="n">
        <v>0</v>
      </c>
      <c r="N82" s="39" t="n">
        <v>0</v>
      </c>
    </row>
    <row r="83" customFormat="false" ht="18" hidden="false" customHeight="true" outlineLevel="0" collapsed="false">
      <c r="B83" s="42" t="s">
        <v>84</v>
      </c>
      <c r="C83" s="43" t="n">
        <f aca="false">SUMPRODUCT((MONTH('⚫ Confirmed Attrition'!$G$5:$G$1000)=1)*(YEAR('⚫ Confirmed Attrition'!$G$5:$G$1000)=2026)*('⚫ Confirmed Attrition'!$D$5:$D$1000="Abigael Singcol Manalaysay"))</f>
        <v>0</v>
      </c>
      <c r="D83" s="43" t="n">
        <f aca="false">SUMPRODUCT((MONTH('⚫ Confirmed Attrition'!$G$5:$G$1000)=2)*(YEAR('⚫ Confirmed Attrition'!$G$5:$G$1000)=2026)*('⚫ Confirmed Attrition'!$D$5:$D$1000="Abigael Singcol Manalaysay"))</f>
        <v>0</v>
      </c>
      <c r="E83" s="43" t="n">
        <f aca="false">SUMPRODUCT((MONTH('⚫ Confirmed Attrition'!$G$5:$G$1000)=3)*(YEAR('⚫ Confirmed Attrition'!$G$5:$G$1000)=2026)*('⚫ Confirmed Attrition'!$D$5:$D$1000="Abigael Singcol Manalaysay"))</f>
        <v>0</v>
      </c>
      <c r="F83" s="43" t="n">
        <f aca="false">SUMPRODUCT((MONTH('⚫ Confirmed Attrition'!$G$5:$G$1000)=4)*(YEAR('⚫ Confirmed Attrition'!$G$5:$G$1000)=2026)*('⚫ Confirmed Attrition'!$D$5:$D$1000="Abigael Singcol Manalaysay"))</f>
        <v>0</v>
      </c>
      <c r="G83" s="43" t="n">
        <f aca="false">SUMPRODUCT((MONTH('⚫ Confirmed Attrition'!$G$5:$G$1000)=5)*(YEAR('⚫ Confirmed Attrition'!$G$5:$G$1000)=2026)*('⚫ Confirmed Attrition'!$D$5:$D$1000="Abigael Singcol Manalaysay"))</f>
        <v>0</v>
      </c>
      <c r="H83" s="43" t="n">
        <f aca="false">SUMPRODUCT((MONTH('⚫ Confirmed Attrition'!$G$5:$G$1000)=6)*(YEAR('⚫ Confirmed Attrition'!$G$5:$G$1000)=2026)*('⚫ Confirmed Attrition'!$D$5:$D$1000="Abigael Singcol Manalaysay"))</f>
        <v>0</v>
      </c>
      <c r="I83" s="43" t="n">
        <f aca="false">SUMPRODUCT((MONTH('⚫ Confirmed Attrition'!$G$5:$G$1000)=7)*(YEAR('⚫ Confirmed Attrition'!$G$5:$G$1000)=2026)*('⚫ Confirmed Attrition'!$D$5:$D$1000="Abigael Singcol Manalaysay"))</f>
        <v>0</v>
      </c>
      <c r="J83" s="43" t="n">
        <f aca="false">SUMPRODUCT((MONTH('⚫ Confirmed Attrition'!$G$5:$G$1000)=8)*(YEAR('⚫ Confirmed Attrition'!$G$5:$G$1000)=2026)*('⚫ Confirmed Attrition'!$D$5:$D$1000="Abigael Singcol Manalaysay"))</f>
        <v>0</v>
      </c>
      <c r="K83" s="43" t="n">
        <f aca="false">SUMPRODUCT((MONTH('⚫ Confirmed Attrition'!$G$5:$G$1000)=9)*(YEAR('⚫ Confirmed Attrition'!$G$5:$G$1000)=2026)*('⚫ Confirmed Attrition'!$D$5:$D$1000="Abigael Singcol Manalaysay"))</f>
        <v>0</v>
      </c>
      <c r="L83" s="43" t="n">
        <f aca="false">SUMPRODUCT((MONTH('⚫ Confirmed Attrition'!$G$5:$G$1000)=10)*(YEAR('⚫ Confirmed Attrition'!$G$5:$G$1000)=2026)*('⚫ Confirmed Attrition'!$D$5:$D$1000="Abigael Singcol Manalaysay"))</f>
        <v>0</v>
      </c>
      <c r="M83" s="43" t="n">
        <f aca="false">SUMPRODUCT((MONTH('⚫ Confirmed Attrition'!$G$5:$G$1000)=11)*(YEAR('⚫ Confirmed Attrition'!$G$5:$G$1000)=2026)*('⚫ Confirmed Attrition'!$D$5:$D$1000="Abigael Singcol Manalaysay"))</f>
        <v>0</v>
      </c>
      <c r="N83" s="43" t="n">
        <f aca="false">SUMPRODUCT((MONTH('⚫ Confirmed Attrition'!$G$5:$G$1000)=12)*(YEAR('⚫ Confirmed Attrition'!$G$5:$G$1000)=2026)*('⚫ Confirmed Attrition'!$D$5:$D$1000="Abigael Singcol Manalaysay"))</f>
        <v>0</v>
      </c>
    </row>
    <row r="84" customFormat="false" ht="18" hidden="false" customHeight="true" outlineLevel="0" collapsed="false">
      <c r="B84" s="44" t="s">
        <v>85</v>
      </c>
      <c r="C84" s="45" t="n">
        <v>0</v>
      </c>
      <c r="D84" s="45" t="n">
        <v>0</v>
      </c>
      <c r="E84" s="45" t="n">
        <v>0</v>
      </c>
      <c r="F84" s="45" t="n">
        <v>0</v>
      </c>
      <c r="G84" s="45" t="n">
        <v>0</v>
      </c>
      <c r="H84" s="45" t="n">
        <v>0</v>
      </c>
      <c r="I84" s="45" t="n">
        <v>0</v>
      </c>
      <c r="J84" s="45" t="n">
        <v>0</v>
      </c>
      <c r="K84" s="45" t="n">
        <v>0</v>
      </c>
      <c r="L84" s="45" t="n">
        <v>0</v>
      </c>
      <c r="M84" s="45" t="n">
        <v>0</v>
      </c>
      <c r="N84" s="45" t="n">
        <v>0</v>
      </c>
    </row>
    <row r="85" customFormat="false" ht="18" hidden="false" customHeight="true" outlineLevel="0" collapsed="false">
      <c r="B85" s="44" t="s">
        <v>86</v>
      </c>
      <c r="C85" s="45" t="n">
        <v>0</v>
      </c>
      <c r="D85" s="45" t="n">
        <v>0</v>
      </c>
      <c r="E85" s="45" t="n">
        <v>0</v>
      </c>
      <c r="F85" s="45" t="n">
        <v>0</v>
      </c>
      <c r="G85" s="45" t="n">
        <v>0</v>
      </c>
      <c r="H85" s="45" t="n">
        <v>0</v>
      </c>
      <c r="I85" s="45" t="n">
        <v>0</v>
      </c>
      <c r="J85" s="45" t="n">
        <v>0</v>
      </c>
      <c r="K85" s="45" t="n">
        <v>0</v>
      </c>
      <c r="L85" s="45" t="n">
        <v>0</v>
      </c>
      <c r="M85" s="45" t="n">
        <v>0</v>
      </c>
      <c r="N85" s="45" t="n">
        <v>0</v>
      </c>
    </row>
    <row r="86" customFormat="false" ht="18" hidden="false" customHeight="true" outlineLevel="0" collapsed="false">
      <c r="B86" s="44" t="s">
        <v>87</v>
      </c>
      <c r="C86" s="45" t="n">
        <v>0</v>
      </c>
      <c r="D86" s="45" t="n">
        <v>0</v>
      </c>
      <c r="E86" s="45" t="n">
        <v>0</v>
      </c>
      <c r="F86" s="45" t="n">
        <v>0</v>
      </c>
      <c r="G86" s="45" t="n">
        <v>0</v>
      </c>
      <c r="H86" s="45" t="n">
        <v>0</v>
      </c>
      <c r="I86" s="45" t="n">
        <v>0</v>
      </c>
      <c r="J86" s="45" t="n">
        <v>0</v>
      </c>
      <c r="K86" s="45" t="n">
        <v>0</v>
      </c>
      <c r="L86" s="45" t="n">
        <v>0</v>
      </c>
      <c r="M86" s="45" t="n">
        <v>0</v>
      </c>
      <c r="N86" s="45" t="n">
        <v>0</v>
      </c>
    </row>
    <row r="87" customFormat="false" ht="18" hidden="false" customHeight="true" outlineLevel="0" collapsed="false">
      <c r="B87" s="36" t="s">
        <v>88</v>
      </c>
      <c r="C87" s="37" t="n">
        <v>25</v>
      </c>
      <c r="D87" s="37" t="n">
        <v>0</v>
      </c>
      <c r="E87" s="37" t="n">
        <v>0</v>
      </c>
      <c r="F87" s="37" t="n">
        <v>0</v>
      </c>
      <c r="G87" s="37" t="n">
        <v>0</v>
      </c>
      <c r="H87" s="37" t="n">
        <v>0</v>
      </c>
      <c r="I87" s="37" t="n">
        <v>0</v>
      </c>
      <c r="J87" s="37" t="n">
        <v>0</v>
      </c>
      <c r="K87" s="37" t="n">
        <v>0</v>
      </c>
      <c r="L87" s="37" t="n">
        <v>0</v>
      </c>
      <c r="M87" s="37" t="n">
        <v>0</v>
      </c>
      <c r="N87" s="37" t="n">
        <v>0</v>
      </c>
    </row>
    <row r="88" customFormat="false" ht="18" hidden="false" customHeight="true" outlineLevel="0" collapsed="false"/>
    <row r="89" customFormat="false" ht="18" hidden="false" customHeight="true" outlineLevel="0" collapsed="false"/>
    <row r="90" customFormat="false" ht="27.75" hidden="false" customHeight="true" outlineLevel="0" collapsed="false">
      <c r="B90" s="46" t="s">
        <v>90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</row>
    <row r="91" customFormat="false" ht="3.75" hidden="false" customHeight="true" outlineLevel="0" collapsed="false"/>
    <row r="92" customFormat="false" ht="25.5" hidden="false" customHeight="true" outlineLevel="0" collapsed="false">
      <c r="B92" s="47" t="s">
        <v>13</v>
      </c>
      <c r="C92" s="47" t="s">
        <v>68</v>
      </c>
      <c r="D92" s="47" t="s">
        <v>69</v>
      </c>
      <c r="E92" s="47" t="s">
        <v>70</v>
      </c>
      <c r="F92" s="47" t="s">
        <v>71</v>
      </c>
      <c r="G92" s="47" t="s">
        <v>72</v>
      </c>
      <c r="H92" s="47" t="s">
        <v>73</v>
      </c>
      <c r="I92" s="47" t="s">
        <v>74</v>
      </c>
      <c r="J92" s="47" t="s">
        <v>75</v>
      </c>
      <c r="K92" s="47" t="s">
        <v>76</v>
      </c>
      <c r="L92" s="47" t="s">
        <v>77</v>
      </c>
      <c r="M92" s="47" t="s">
        <v>78</v>
      </c>
      <c r="N92" s="47" t="s">
        <v>79</v>
      </c>
    </row>
    <row r="93" customFormat="false" ht="18" hidden="false" customHeight="true" outlineLevel="0" collapsed="false">
      <c r="B93" s="36" t="s">
        <v>80</v>
      </c>
      <c r="C93" s="37" t="n">
        <v>10</v>
      </c>
      <c r="D93" s="37" t="n">
        <v>0</v>
      </c>
      <c r="E93" s="37" t="n">
        <v>0</v>
      </c>
      <c r="F93" s="37" t="n">
        <v>0</v>
      </c>
      <c r="G93" s="37" t="n">
        <v>0</v>
      </c>
      <c r="H93" s="37" t="n">
        <v>0</v>
      </c>
      <c r="I93" s="37" t="n">
        <v>0</v>
      </c>
      <c r="J93" s="37" t="n">
        <v>0</v>
      </c>
      <c r="K93" s="37" t="n">
        <v>0</v>
      </c>
      <c r="L93" s="37" t="n">
        <v>0</v>
      </c>
      <c r="M93" s="37" t="n">
        <v>0</v>
      </c>
      <c r="N93" s="37" t="n">
        <v>0</v>
      </c>
    </row>
    <row r="94" customFormat="false" ht="18" hidden="false" customHeight="true" outlineLevel="0" collapsed="false">
      <c r="B94" s="38" t="s">
        <v>81</v>
      </c>
      <c r="C94" s="39" t="n">
        <v>0</v>
      </c>
      <c r="D94" s="39" t="n">
        <v>0</v>
      </c>
      <c r="E94" s="39" t="n">
        <v>0</v>
      </c>
      <c r="F94" s="39" t="n">
        <v>0</v>
      </c>
      <c r="G94" s="39" t="n">
        <v>0</v>
      </c>
      <c r="H94" s="39" t="n">
        <v>0</v>
      </c>
      <c r="I94" s="39" t="n">
        <v>0</v>
      </c>
      <c r="J94" s="39" t="n">
        <v>0</v>
      </c>
      <c r="K94" s="39" t="n">
        <v>0</v>
      </c>
      <c r="L94" s="39" t="n">
        <v>0</v>
      </c>
      <c r="M94" s="39" t="n">
        <v>0</v>
      </c>
      <c r="N94" s="39" t="n">
        <v>0</v>
      </c>
    </row>
    <row r="95" customFormat="false" ht="18" hidden="false" customHeight="true" outlineLevel="0" collapsed="false">
      <c r="B95" s="40" t="s">
        <v>82</v>
      </c>
      <c r="C95" s="41" t="n">
        <v>0</v>
      </c>
      <c r="D95" s="41" t="n">
        <v>0</v>
      </c>
      <c r="E95" s="41" t="n">
        <v>0</v>
      </c>
      <c r="F95" s="41" t="n">
        <v>0</v>
      </c>
      <c r="G95" s="41" t="n">
        <v>0</v>
      </c>
      <c r="H95" s="41" t="n">
        <v>0</v>
      </c>
      <c r="I95" s="41" t="n">
        <v>0</v>
      </c>
      <c r="J95" s="41" t="n">
        <v>0</v>
      </c>
      <c r="K95" s="41" t="n">
        <v>0</v>
      </c>
      <c r="L95" s="41" t="n">
        <v>0</v>
      </c>
      <c r="M95" s="41" t="n">
        <v>0</v>
      </c>
      <c r="N95" s="41" t="n">
        <v>0</v>
      </c>
    </row>
    <row r="96" customFormat="false" ht="18" hidden="false" customHeight="true" outlineLevel="0" collapsed="false">
      <c r="B96" s="38" t="s">
        <v>83</v>
      </c>
      <c r="C96" s="39" t="n">
        <v>0</v>
      </c>
      <c r="D96" s="39" t="n">
        <v>0</v>
      </c>
      <c r="E96" s="39" t="n">
        <v>0</v>
      </c>
      <c r="F96" s="39" t="n">
        <v>0</v>
      </c>
      <c r="G96" s="39" t="n">
        <v>0</v>
      </c>
      <c r="H96" s="39" t="n">
        <v>0</v>
      </c>
      <c r="I96" s="39" t="n">
        <v>0</v>
      </c>
      <c r="J96" s="39" t="n">
        <v>0</v>
      </c>
      <c r="K96" s="39" t="n">
        <v>0</v>
      </c>
      <c r="L96" s="39" t="n">
        <v>0</v>
      </c>
      <c r="M96" s="39" t="n">
        <v>0</v>
      </c>
      <c r="N96" s="39" t="n">
        <v>0</v>
      </c>
    </row>
    <row r="97" customFormat="false" ht="18" hidden="false" customHeight="true" outlineLevel="0" collapsed="false">
      <c r="B97" s="42" t="s">
        <v>84</v>
      </c>
      <c r="C97" s="43" t="n">
        <f aca="false">SUMPRODUCT((MONTH('⚫ Confirmed Attrition'!$G$5:$G$1000)=1)*(YEAR('⚫ Confirmed Attrition'!$G$5:$G$1000)=2026)*('⚫ Confirmed Attrition'!$D$5:$D$1000="Aida Marie Rodriguez"))</f>
        <v>0</v>
      </c>
      <c r="D97" s="43" t="n">
        <f aca="false">SUMPRODUCT((MONTH('⚫ Confirmed Attrition'!$G$5:$G$1000)=2)*(YEAR('⚫ Confirmed Attrition'!$G$5:$G$1000)=2026)*('⚫ Confirmed Attrition'!$D$5:$D$1000="Aida Marie Rodriguez"))</f>
        <v>0</v>
      </c>
      <c r="E97" s="43" t="n">
        <f aca="false">SUMPRODUCT((MONTH('⚫ Confirmed Attrition'!$G$5:$G$1000)=3)*(YEAR('⚫ Confirmed Attrition'!$G$5:$G$1000)=2026)*('⚫ Confirmed Attrition'!$D$5:$D$1000="Aida Marie Rodriguez"))</f>
        <v>0</v>
      </c>
      <c r="F97" s="43" t="n">
        <f aca="false">SUMPRODUCT((MONTH('⚫ Confirmed Attrition'!$G$5:$G$1000)=4)*(YEAR('⚫ Confirmed Attrition'!$G$5:$G$1000)=2026)*('⚫ Confirmed Attrition'!$D$5:$D$1000="Aida Marie Rodriguez"))</f>
        <v>0</v>
      </c>
      <c r="G97" s="43" t="n">
        <f aca="false">SUMPRODUCT((MONTH('⚫ Confirmed Attrition'!$G$5:$G$1000)=5)*(YEAR('⚫ Confirmed Attrition'!$G$5:$G$1000)=2026)*('⚫ Confirmed Attrition'!$D$5:$D$1000="Aida Marie Rodriguez"))</f>
        <v>0</v>
      </c>
      <c r="H97" s="43" t="n">
        <f aca="false">SUMPRODUCT((MONTH('⚫ Confirmed Attrition'!$G$5:$G$1000)=6)*(YEAR('⚫ Confirmed Attrition'!$G$5:$G$1000)=2026)*('⚫ Confirmed Attrition'!$D$5:$D$1000="Aida Marie Rodriguez"))</f>
        <v>0</v>
      </c>
      <c r="I97" s="43" t="n">
        <f aca="false">SUMPRODUCT((MONTH('⚫ Confirmed Attrition'!$G$5:$G$1000)=7)*(YEAR('⚫ Confirmed Attrition'!$G$5:$G$1000)=2026)*('⚫ Confirmed Attrition'!$D$5:$D$1000="Aida Marie Rodriguez"))</f>
        <v>0</v>
      </c>
      <c r="J97" s="43" t="n">
        <f aca="false">SUMPRODUCT((MONTH('⚫ Confirmed Attrition'!$G$5:$G$1000)=8)*(YEAR('⚫ Confirmed Attrition'!$G$5:$G$1000)=2026)*('⚫ Confirmed Attrition'!$D$5:$D$1000="Aida Marie Rodriguez"))</f>
        <v>0</v>
      </c>
      <c r="K97" s="43" t="n">
        <f aca="false">SUMPRODUCT((MONTH('⚫ Confirmed Attrition'!$G$5:$G$1000)=9)*(YEAR('⚫ Confirmed Attrition'!$G$5:$G$1000)=2026)*('⚫ Confirmed Attrition'!$D$5:$D$1000="Aida Marie Rodriguez"))</f>
        <v>0</v>
      </c>
      <c r="L97" s="43" t="n">
        <f aca="false">SUMPRODUCT((MONTH('⚫ Confirmed Attrition'!$G$5:$G$1000)=10)*(YEAR('⚫ Confirmed Attrition'!$G$5:$G$1000)=2026)*('⚫ Confirmed Attrition'!$D$5:$D$1000="Aida Marie Rodriguez"))</f>
        <v>0</v>
      </c>
      <c r="M97" s="43" t="n">
        <f aca="false">SUMPRODUCT((MONTH('⚫ Confirmed Attrition'!$G$5:$G$1000)=11)*(YEAR('⚫ Confirmed Attrition'!$G$5:$G$1000)=2026)*('⚫ Confirmed Attrition'!$D$5:$D$1000="Aida Marie Rodriguez"))</f>
        <v>0</v>
      </c>
      <c r="N97" s="43" t="n">
        <f aca="false">SUMPRODUCT((MONTH('⚫ Confirmed Attrition'!$G$5:$G$1000)=12)*(YEAR('⚫ Confirmed Attrition'!$G$5:$G$1000)=2026)*('⚫ Confirmed Attrition'!$D$5:$D$1000="Aida Marie Rodriguez"))</f>
        <v>0</v>
      </c>
    </row>
    <row r="98" customFormat="false" ht="18" hidden="false" customHeight="true" outlineLevel="0" collapsed="false">
      <c r="B98" s="44" t="s">
        <v>85</v>
      </c>
      <c r="C98" s="45" t="n">
        <v>0</v>
      </c>
      <c r="D98" s="45" t="n">
        <v>0</v>
      </c>
      <c r="E98" s="45" t="n">
        <v>0</v>
      </c>
      <c r="F98" s="45" t="n">
        <v>0</v>
      </c>
      <c r="G98" s="45" t="n">
        <v>0</v>
      </c>
      <c r="H98" s="45" t="n">
        <v>0</v>
      </c>
      <c r="I98" s="45" t="n">
        <v>0</v>
      </c>
      <c r="J98" s="45" t="n">
        <v>0</v>
      </c>
      <c r="K98" s="45" t="n">
        <v>0</v>
      </c>
      <c r="L98" s="45" t="n">
        <v>0</v>
      </c>
      <c r="M98" s="45" t="n">
        <v>0</v>
      </c>
      <c r="N98" s="45" t="n">
        <v>0</v>
      </c>
    </row>
    <row r="99" customFormat="false" ht="18" hidden="false" customHeight="true" outlineLevel="0" collapsed="false">
      <c r="B99" s="44" t="s">
        <v>86</v>
      </c>
      <c r="C99" s="45" t="n">
        <v>0</v>
      </c>
      <c r="D99" s="45" t="n">
        <v>0</v>
      </c>
      <c r="E99" s="45" t="n">
        <v>0</v>
      </c>
      <c r="F99" s="45" t="n">
        <v>0</v>
      </c>
      <c r="G99" s="45" t="n">
        <v>0</v>
      </c>
      <c r="H99" s="45" t="n">
        <v>0</v>
      </c>
      <c r="I99" s="45" t="n">
        <v>0</v>
      </c>
      <c r="J99" s="45" t="n">
        <v>0</v>
      </c>
      <c r="K99" s="45" t="n">
        <v>0</v>
      </c>
      <c r="L99" s="45" t="n">
        <v>0</v>
      </c>
      <c r="M99" s="45" t="n">
        <v>0</v>
      </c>
      <c r="N99" s="45" t="n">
        <v>0</v>
      </c>
    </row>
    <row r="100" customFormat="false" ht="18" hidden="false" customHeight="true" outlineLevel="0" collapsed="false">
      <c r="B100" s="44" t="s">
        <v>87</v>
      </c>
      <c r="C100" s="45" t="n">
        <v>0</v>
      </c>
      <c r="D100" s="45" t="n">
        <v>0</v>
      </c>
      <c r="E100" s="45" t="n">
        <v>0</v>
      </c>
      <c r="F100" s="45" t="n">
        <v>0</v>
      </c>
      <c r="G100" s="45" t="n">
        <v>0</v>
      </c>
      <c r="H100" s="45" t="n">
        <v>0</v>
      </c>
      <c r="I100" s="45" t="n">
        <v>0</v>
      </c>
      <c r="J100" s="45" t="n">
        <v>0</v>
      </c>
      <c r="K100" s="45" t="n">
        <v>0</v>
      </c>
      <c r="L100" s="45" t="n">
        <v>0</v>
      </c>
      <c r="M100" s="45" t="n">
        <v>0</v>
      </c>
      <c r="N100" s="45" t="n">
        <v>0</v>
      </c>
    </row>
    <row r="101" customFormat="false" ht="18" hidden="false" customHeight="true" outlineLevel="0" collapsed="false">
      <c r="B101" s="36" t="s">
        <v>88</v>
      </c>
      <c r="C101" s="37" t="n">
        <v>10</v>
      </c>
      <c r="D101" s="37" t="n">
        <v>0</v>
      </c>
      <c r="E101" s="37" t="n">
        <v>0</v>
      </c>
      <c r="F101" s="37" t="n">
        <v>0</v>
      </c>
      <c r="G101" s="37" t="n">
        <v>0</v>
      </c>
      <c r="H101" s="37" t="n">
        <v>0</v>
      </c>
      <c r="I101" s="37" t="n">
        <v>0</v>
      </c>
      <c r="J101" s="37" t="n">
        <v>0</v>
      </c>
      <c r="K101" s="37" t="n">
        <v>0</v>
      </c>
      <c r="L101" s="37" t="n">
        <v>0</v>
      </c>
      <c r="M101" s="37" t="n">
        <v>0</v>
      </c>
      <c r="N101" s="37" t="n">
        <v>0</v>
      </c>
    </row>
    <row r="104" customFormat="false" ht="27.75" hidden="false" customHeight="true" outlineLevel="0" collapsed="false">
      <c r="B104" s="46" t="s">
        <v>91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customFormat="false" ht="3.75" hidden="false" customHeight="true" outlineLevel="0" collapsed="false"/>
    <row r="106" customFormat="false" ht="25.5" hidden="false" customHeight="true" outlineLevel="0" collapsed="false">
      <c r="B106" s="47" t="s">
        <v>14</v>
      </c>
      <c r="C106" s="47" t="s">
        <v>68</v>
      </c>
      <c r="D106" s="47" t="s">
        <v>69</v>
      </c>
      <c r="E106" s="47" t="s">
        <v>70</v>
      </c>
      <c r="F106" s="47" t="s">
        <v>71</v>
      </c>
      <c r="G106" s="47" t="s">
        <v>72</v>
      </c>
      <c r="H106" s="47" t="s">
        <v>73</v>
      </c>
      <c r="I106" s="47" t="s">
        <v>74</v>
      </c>
      <c r="J106" s="47" t="s">
        <v>75</v>
      </c>
      <c r="K106" s="47" t="s">
        <v>76</v>
      </c>
      <c r="L106" s="47" t="s">
        <v>77</v>
      </c>
      <c r="M106" s="47" t="s">
        <v>78</v>
      </c>
      <c r="N106" s="47" t="s">
        <v>79</v>
      </c>
    </row>
    <row r="107" customFormat="false" ht="18" hidden="false" customHeight="true" outlineLevel="0" collapsed="false">
      <c r="B107" s="36" t="s">
        <v>80</v>
      </c>
      <c r="C107" s="37" t="n">
        <v>18</v>
      </c>
      <c r="D107" s="37" t="n">
        <v>0</v>
      </c>
      <c r="E107" s="37" t="n">
        <v>0</v>
      </c>
      <c r="F107" s="37" t="n">
        <v>0</v>
      </c>
      <c r="G107" s="37" t="n">
        <v>0</v>
      </c>
      <c r="H107" s="37" t="n">
        <v>0</v>
      </c>
      <c r="I107" s="37" t="n">
        <v>0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</row>
    <row r="108" customFormat="false" ht="18" hidden="false" customHeight="true" outlineLevel="0" collapsed="false">
      <c r="B108" s="38" t="s">
        <v>81</v>
      </c>
      <c r="C108" s="39" t="n">
        <v>0</v>
      </c>
      <c r="D108" s="39" t="n">
        <v>0</v>
      </c>
      <c r="E108" s="39" t="n">
        <v>0</v>
      </c>
      <c r="F108" s="39" t="n">
        <v>0</v>
      </c>
      <c r="G108" s="39" t="n">
        <v>0</v>
      </c>
      <c r="H108" s="39" t="n">
        <v>0</v>
      </c>
      <c r="I108" s="39" t="n">
        <v>0</v>
      </c>
      <c r="J108" s="39" t="n">
        <v>0</v>
      </c>
      <c r="K108" s="39" t="n">
        <v>0</v>
      </c>
      <c r="L108" s="39" t="n">
        <v>0</v>
      </c>
      <c r="M108" s="39" t="n">
        <v>0</v>
      </c>
      <c r="N108" s="39" t="n">
        <v>0</v>
      </c>
    </row>
    <row r="109" customFormat="false" ht="18" hidden="false" customHeight="true" outlineLevel="0" collapsed="false">
      <c r="B109" s="40" t="s">
        <v>82</v>
      </c>
      <c r="C109" s="41" t="n">
        <v>0</v>
      </c>
      <c r="D109" s="41" t="n">
        <v>0</v>
      </c>
      <c r="E109" s="41" t="n">
        <v>0</v>
      </c>
      <c r="F109" s="41" t="n">
        <v>0</v>
      </c>
      <c r="G109" s="41" t="n">
        <v>0</v>
      </c>
      <c r="H109" s="41" t="n">
        <v>0</v>
      </c>
      <c r="I109" s="41" t="n">
        <v>0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n">
        <v>0</v>
      </c>
    </row>
    <row r="110" customFormat="false" ht="18" hidden="false" customHeight="true" outlineLevel="0" collapsed="false">
      <c r="B110" s="38" t="s">
        <v>83</v>
      </c>
      <c r="C110" s="39" t="n">
        <v>0</v>
      </c>
      <c r="D110" s="39" t="n">
        <v>0</v>
      </c>
      <c r="E110" s="39" t="n">
        <v>0</v>
      </c>
      <c r="F110" s="39" t="n">
        <v>0</v>
      </c>
      <c r="G110" s="39" t="n">
        <v>0</v>
      </c>
      <c r="H110" s="39" t="n">
        <v>0</v>
      </c>
      <c r="I110" s="39" t="n">
        <v>0</v>
      </c>
      <c r="J110" s="39" t="n">
        <v>0</v>
      </c>
      <c r="K110" s="39" t="n">
        <v>0</v>
      </c>
      <c r="L110" s="39" t="n">
        <v>0</v>
      </c>
      <c r="M110" s="39" t="n">
        <v>0</v>
      </c>
      <c r="N110" s="39" t="n">
        <v>0</v>
      </c>
    </row>
    <row r="111" customFormat="false" ht="18" hidden="false" customHeight="true" outlineLevel="0" collapsed="false">
      <c r="B111" s="42" t="s">
        <v>84</v>
      </c>
      <c r="C111" s="43" t="n">
        <f aca="false">SUMPRODUCT((MONTH('⚫ Confirmed Attrition'!$G$5:$G$1000)=1)*(YEAR('⚫ Confirmed Attrition'!$G$5:$G$1000)=2026)*('⚫ Confirmed Attrition'!$D$5:$D$1000="Ailene Logronio Laure"))</f>
        <v>0</v>
      </c>
      <c r="D111" s="43" t="n">
        <f aca="false">SUMPRODUCT((MONTH('⚫ Confirmed Attrition'!$G$5:$G$1000)=2)*(YEAR('⚫ Confirmed Attrition'!$G$5:$G$1000)=2026)*('⚫ Confirmed Attrition'!$D$5:$D$1000="Ailene Logronio Laure"))</f>
        <v>0</v>
      </c>
      <c r="E111" s="43" t="n">
        <f aca="false">SUMPRODUCT((MONTH('⚫ Confirmed Attrition'!$G$5:$G$1000)=3)*(YEAR('⚫ Confirmed Attrition'!$G$5:$G$1000)=2026)*('⚫ Confirmed Attrition'!$D$5:$D$1000="Ailene Logronio Laure"))</f>
        <v>0</v>
      </c>
      <c r="F111" s="43" t="n">
        <f aca="false">SUMPRODUCT((MONTH('⚫ Confirmed Attrition'!$G$5:$G$1000)=4)*(YEAR('⚫ Confirmed Attrition'!$G$5:$G$1000)=2026)*('⚫ Confirmed Attrition'!$D$5:$D$1000="Ailene Logronio Laure"))</f>
        <v>0</v>
      </c>
      <c r="G111" s="43" t="n">
        <f aca="false">SUMPRODUCT((MONTH('⚫ Confirmed Attrition'!$G$5:$G$1000)=5)*(YEAR('⚫ Confirmed Attrition'!$G$5:$G$1000)=2026)*('⚫ Confirmed Attrition'!$D$5:$D$1000="Ailene Logronio Laure"))</f>
        <v>0</v>
      </c>
      <c r="H111" s="43" t="n">
        <f aca="false">SUMPRODUCT((MONTH('⚫ Confirmed Attrition'!$G$5:$G$1000)=6)*(YEAR('⚫ Confirmed Attrition'!$G$5:$G$1000)=2026)*('⚫ Confirmed Attrition'!$D$5:$D$1000="Ailene Logronio Laure"))</f>
        <v>0</v>
      </c>
      <c r="I111" s="43" t="n">
        <f aca="false">SUMPRODUCT((MONTH('⚫ Confirmed Attrition'!$G$5:$G$1000)=7)*(YEAR('⚫ Confirmed Attrition'!$G$5:$G$1000)=2026)*('⚫ Confirmed Attrition'!$D$5:$D$1000="Ailene Logronio Laure"))</f>
        <v>0</v>
      </c>
      <c r="J111" s="43" t="n">
        <f aca="false">SUMPRODUCT((MONTH('⚫ Confirmed Attrition'!$G$5:$G$1000)=8)*(YEAR('⚫ Confirmed Attrition'!$G$5:$G$1000)=2026)*('⚫ Confirmed Attrition'!$D$5:$D$1000="Ailene Logronio Laure"))</f>
        <v>0</v>
      </c>
      <c r="K111" s="43" t="n">
        <f aca="false">SUMPRODUCT((MONTH('⚫ Confirmed Attrition'!$G$5:$G$1000)=9)*(YEAR('⚫ Confirmed Attrition'!$G$5:$G$1000)=2026)*('⚫ Confirmed Attrition'!$D$5:$D$1000="Ailene Logronio Laure"))</f>
        <v>0</v>
      </c>
      <c r="L111" s="43" t="n">
        <f aca="false">SUMPRODUCT((MONTH('⚫ Confirmed Attrition'!$G$5:$G$1000)=10)*(YEAR('⚫ Confirmed Attrition'!$G$5:$G$1000)=2026)*('⚫ Confirmed Attrition'!$D$5:$D$1000="Ailene Logronio Laure"))</f>
        <v>0</v>
      </c>
      <c r="M111" s="43" t="n">
        <f aca="false">SUMPRODUCT((MONTH('⚫ Confirmed Attrition'!$G$5:$G$1000)=11)*(YEAR('⚫ Confirmed Attrition'!$G$5:$G$1000)=2026)*('⚫ Confirmed Attrition'!$D$5:$D$1000="Ailene Logronio Laure"))</f>
        <v>0</v>
      </c>
      <c r="N111" s="43" t="n">
        <f aca="false">SUMPRODUCT((MONTH('⚫ Confirmed Attrition'!$G$5:$G$1000)=12)*(YEAR('⚫ Confirmed Attrition'!$G$5:$G$1000)=2026)*('⚫ Confirmed Attrition'!$D$5:$D$1000="Ailene Logronio Laure"))</f>
        <v>0</v>
      </c>
    </row>
    <row r="112" customFormat="false" ht="18" hidden="false" customHeight="true" outlineLevel="0" collapsed="false">
      <c r="B112" s="44" t="s">
        <v>85</v>
      </c>
      <c r="C112" s="45" t="n">
        <v>0</v>
      </c>
      <c r="D112" s="45" t="n">
        <v>0</v>
      </c>
      <c r="E112" s="45" t="n">
        <v>0</v>
      </c>
      <c r="F112" s="45" t="n">
        <v>0</v>
      </c>
      <c r="G112" s="45" t="n">
        <v>0</v>
      </c>
      <c r="H112" s="45" t="n">
        <v>0</v>
      </c>
      <c r="I112" s="45" t="n">
        <v>0</v>
      </c>
      <c r="J112" s="45" t="n">
        <v>0</v>
      </c>
      <c r="K112" s="45" t="n">
        <v>0</v>
      </c>
      <c r="L112" s="45" t="n">
        <v>0</v>
      </c>
      <c r="M112" s="45" t="n">
        <v>0</v>
      </c>
      <c r="N112" s="45" t="n">
        <v>0</v>
      </c>
    </row>
    <row r="113" customFormat="false" ht="18" hidden="false" customHeight="true" outlineLevel="0" collapsed="false">
      <c r="B113" s="44" t="s">
        <v>86</v>
      </c>
      <c r="C113" s="45" t="n">
        <v>0</v>
      </c>
      <c r="D113" s="45" t="n">
        <v>0</v>
      </c>
      <c r="E113" s="45" t="n">
        <v>0</v>
      </c>
      <c r="F113" s="45" t="n">
        <v>0</v>
      </c>
      <c r="G113" s="45" t="n">
        <v>0</v>
      </c>
      <c r="H113" s="45" t="n">
        <v>0</v>
      </c>
      <c r="I113" s="45" t="n">
        <v>0</v>
      </c>
      <c r="J113" s="45" t="n">
        <v>0</v>
      </c>
      <c r="K113" s="45" t="n">
        <v>0</v>
      </c>
      <c r="L113" s="45" t="n">
        <v>0</v>
      </c>
      <c r="M113" s="45" t="n">
        <v>0</v>
      </c>
      <c r="N113" s="45" t="n">
        <v>0</v>
      </c>
    </row>
    <row r="114" customFormat="false" ht="18" hidden="false" customHeight="true" outlineLevel="0" collapsed="false">
      <c r="B114" s="44" t="s">
        <v>87</v>
      </c>
      <c r="C114" s="45" t="n">
        <v>0</v>
      </c>
      <c r="D114" s="45" t="n">
        <v>0</v>
      </c>
      <c r="E114" s="45" t="n">
        <v>0</v>
      </c>
      <c r="F114" s="45" t="n">
        <v>0</v>
      </c>
      <c r="G114" s="45" t="n">
        <v>0</v>
      </c>
      <c r="H114" s="45" t="n">
        <v>0</v>
      </c>
      <c r="I114" s="45" t="n">
        <v>0</v>
      </c>
      <c r="J114" s="45" t="n">
        <v>0</v>
      </c>
      <c r="K114" s="45" t="n">
        <v>0</v>
      </c>
      <c r="L114" s="45" t="n">
        <v>0</v>
      </c>
      <c r="M114" s="45" t="n">
        <v>0</v>
      </c>
      <c r="N114" s="45" t="n">
        <v>0</v>
      </c>
    </row>
    <row r="115" customFormat="false" ht="18" hidden="false" customHeight="true" outlineLevel="0" collapsed="false">
      <c r="B115" s="36" t="s">
        <v>88</v>
      </c>
      <c r="C115" s="37" t="n">
        <v>18</v>
      </c>
      <c r="D115" s="37" t="n">
        <v>0</v>
      </c>
      <c r="E115" s="37" t="n">
        <v>0</v>
      </c>
      <c r="F115" s="37" t="n">
        <v>0</v>
      </c>
      <c r="G115" s="37" t="n">
        <v>0</v>
      </c>
      <c r="H115" s="37" t="n">
        <v>0</v>
      </c>
      <c r="I115" s="37" t="n">
        <v>0</v>
      </c>
      <c r="J115" s="37" t="n">
        <v>0</v>
      </c>
      <c r="K115" s="37" t="n">
        <v>0</v>
      </c>
      <c r="L115" s="37" t="n">
        <v>0</v>
      </c>
      <c r="M115" s="37" t="n">
        <v>0</v>
      </c>
      <c r="N115" s="37" t="n">
        <v>0</v>
      </c>
    </row>
    <row r="118" customFormat="false" ht="27.75" hidden="false" customHeight="true" outlineLevel="0" collapsed="false">
      <c r="B118" s="46" t="s">
        <v>92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</row>
    <row r="119" customFormat="false" ht="3.75" hidden="false" customHeight="true" outlineLevel="0" collapsed="false"/>
    <row r="120" customFormat="false" ht="25.5" hidden="false" customHeight="true" outlineLevel="0" collapsed="false">
      <c r="B120" s="47" t="s">
        <v>15</v>
      </c>
      <c r="C120" s="47" t="s">
        <v>68</v>
      </c>
      <c r="D120" s="47" t="s">
        <v>69</v>
      </c>
      <c r="E120" s="47" t="s">
        <v>70</v>
      </c>
      <c r="F120" s="47" t="s">
        <v>71</v>
      </c>
      <c r="G120" s="47" t="s">
        <v>72</v>
      </c>
      <c r="H120" s="47" t="s">
        <v>73</v>
      </c>
      <c r="I120" s="47" t="s">
        <v>74</v>
      </c>
      <c r="J120" s="47" t="s">
        <v>75</v>
      </c>
      <c r="K120" s="47" t="s">
        <v>76</v>
      </c>
      <c r="L120" s="47" t="s">
        <v>77</v>
      </c>
      <c r="M120" s="47" t="s">
        <v>78</v>
      </c>
      <c r="N120" s="47" t="s">
        <v>79</v>
      </c>
    </row>
    <row r="121" customFormat="false" ht="18" hidden="false" customHeight="true" outlineLevel="0" collapsed="false">
      <c r="B121" s="36" t="s">
        <v>80</v>
      </c>
      <c r="C121" s="37" t="n">
        <v>5</v>
      </c>
      <c r="D121" s="37" t="n">
        <v>0</v>
      </c>
      <c r="E121" s="37" t="n">
        <v>0</v>
      </c>
      <c r="F121" s="37" t="n">
        <v>0</v>
      </c>
      <c r="G121" s="37" t="n">
        <v>0</v>
      </c>
      <c r="H121" s="37" t="n">
        <v>0</v>
      </c>
      <c r="I121" s="37" t="n">
        <v>0</v>
      </c>
      <c r="J121" s="37" t="n">
        <v>0</v>
      </c>
      <c r="K121" s="37" t="n">
        <v>0</v>
      </c>
      <c r="L121" s="37" t="n">
        <v>0</v>
      </c>
      <c r="M121" s="37" t="n">
        <v>0</v>
      </c>
      <c r="N121" s="37" t="n">
        <v>0</v>
      </c>
    </row>
    <row r="122" customFormat="false" ht="18" hidden="false" customHeight="true" outlineLevel="0" collapsed="false">
      <c r="B122" s="38" t="s">
        <v>81</v>
      </c>
      <c r="C122" s="39" t="n">
        <v>0</v>
      </c>
      <c r="D122" s="39" t="n">
        <v>0</v>
      </c>
      <c r="E122" s="39" t="n">
        <v>0</v>
      </c>
      <c r="F122" s="39" t="n">
        <v>0</v>
      </c>
      <c r="G122" s="39" t="n">
        <v>0</v>
      </c>
      <c r="H122" s="39" t="n">
        <v>0</v>
      </c>
      <c r="I122" s="39" t="n">
        <v>0</v>
      </c>
      <c r="J122" s="39" t="n">
        <v>0</v>
      </c>
      <c r="K122" s="39" t="n">
        <v>0</v>
      </c>
      <c r="L122" s="39" t="n">
        <v>0</v>
      </c>
      <c r="M122" s="39" t="n">
        <v>0</v>
      </c>
      <c r="N122" s="39" t="n">
        <v>0</v>
      </c>
    </row>
    <row r="123" customFormat="false" ht="18" hidden="false" customHeight="true" outlineLevel="0" collapsed="false">
      <c r="B123" s="40" t="s">
        <v>82</v>
      </c>
      <c r="C123" s="41" t="n">
        <v>0</v>
      </c>
      <c r="D123" s="41" t="n">
        <v>0</v>
      </c>
      <c r="E123" s="41" t="n">
        <v>0</v>
      </c>
      <c r="F123" s="41" t="n">
        <v>0</v>
      </c>
      <c r="G123" s="41" t="n">
        <v>0</v>
      </c>
      <c r="H123" s="41" t="n">
        <v>0</v>
      </c>
      <c r="I123" s="41" t="n">
        <v>0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n">
        <v>0</v>
      </c>
    </row>
    <row r="124" customFormat="false" ht="18" hidden="false" customHeight="true" outlineLevel="0" collapsed="false">
      <c r="B124" s="38" t="s">
        <v>83</v>
      </c>
      <c r="C124" s="39" t="n">
        <v>0</v>
      </c>
      <c r="D124" s="39" t="n">
        <v>0</v>
      </c>
      <c r="E124" s="39" t="n">
        <v>0</v>
      </c>
      <c r="F124" s="39" t="n">
        <v>0</v>
      </c>
      <c r="G124" s="39" t="n">
        <v>0</v>
      </c>
      <c r="H124" s="39" t="n">
        <v>0</v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39" t="n">
        <v>0</v>
      </c>
    </row>
    <row r="125" customFormat="false" ht="18" hidden="false" customHeight="true" outlineLevel="0" collapsed="false">
      <c r="B125" s="42" t="s">
        <v>84</v>
      </c>
      <c r="C125" s="43" t="n">
        <f aca="false">SUMPRODUCT((MONTH('⚫ Confirmed Attrition'!$G$5:$G$1000)=1)*(YEAR('⚫ Confirmed Attrition'!$G$5:$G$1000)=2026)*('⚫ Confirmed Attrition'!$D$5:$D$1000="Alanie Sanchez Lapuz"))</f>
        <v>0</v>
      </c>
      <c r="D125" s="43" t="n">
        <f aca="false">SUMPRODUCT((MONTH('⚫ Confirmed Attrition'!$G$5:$G$1000)=2)*(YEAR('⚫ Confirmed Attrition'!$G$5:$G$1000)=2026)*('⚫ Confirmed Attrition'!$D$5:$D$1000="Alanie Sanchez Lapuz"))</f>
        <v>0</v>
      </c>
      <c r="E125" s="43" t="n">
        <f aca="false">SUMPRODUCT((MONTH('⚫ Confirmed Attrition'!$G$5:$G$1000)=3)*(YEAR('⚫ Confirmed Attrition'!$G$5:$G$1000)=2026)*('⚫ Confirmed Attrition'!$D$5:$D$1000="Alanie Sanchez Lapuz"))</f>
        <v>0</v>
      </c>
      <c r="F125" s="43" t="n">
        <f aca="false">SUMPRODUCT((MONTH('⚫ Confirmed Attrition'!$G$5:$G$1000)=4)*(YEAR('⚫ Confirmed Attrition'!$G$5:$G$1000)=2026)*('⚫ Confirmed Attrition'!$D$5:$D$1000="Alanie Sanchez Lapuz"))</f>
        <v>0</v>
      </c>
      <c r="G125" s="43" t="n">
        <f aca="false">SUMPRODUCT((MONTH('⚫ Confirmed Attrition'!$G$5:$G$1000)=5)*(YEAR('⚫ Confirmed Attrition'!$G$5:$G$1000)=2026)*('⚫ Confirmed Attrition'!$D$5:$D$1000="Alanie Sanchez Lapuz"))</f>
        <v>0</v>
      </c>
      <c r="H125" s="43" t="n">
        <f aca="false">SUMPRODUCT((MONTH('⚫ Confirmed Attrition'!$G$5:$G$1000)=6)*(YEAR('⚫ Confirmed Attrition'!$G$5:$G$1000)=2026)*('⚫ Confirmed Attrition'!$D$5:$D$1000="Alanie Sanchez Lapuz"))</f>
        <v>0</v>
      </c>
      <c r="I125" s="43" t="n">
        <f aca="false">SUMPRODUCT((MONTH('⚫ Confirmed Attrition'!$G$5:$G$1000)=7)*(YEAR('⚫ Confirmed Attrition'!$G$5:$G$1000)=2026)*('⚫ Confirmed Attrition'!$D$5:$D$1000="Alanie Sanchez Lapuz"))</f>
        <v>0</v>
      </c>
      <c r="J125" s="43" t="n">
        <f aca="false">SUMPRODUCT((MONTH('⚫ Confirmed Attrition'!$G$5:$G$1000)=8)*(YEAR('⚫ Confirmed Attrition'!$G$5:$G$1000)=2026)*('⚫ Confirmed Attrition'!$D$5:$D$1000="Alanie Sanchez Lapuz"))</f>
        <v>0</v>
      </c>
      <c r="K125" s="43" t="n">
        <f aca="false">SUMPRODUCT((MONTH('⚫ Confirmed Attrition'!$G$5:$G$1000)=9)*(YEAR('⚫ Confirmed Attrition'!$G$5:$G$1000)=2026)*('⚫ Confirmed Attrition'!$D$5:$D$1000="Alanie Sanchez Lapuz"))</f>
        <v>0</v>
      </c>
      <c r="L125" s="43" t="n">
        <f aca="false">SUMPRODUCT((MONTH('⚫ Confirmed Attrition'!$G$5:$G$1000)=10)*(YEAR('⚫ Confirmed Attrition'!$G$5:$G$1000)=2026)*('⚫ Confirmed Attrition'!$D$5:$D$1000="Alanie Sanchez Lapuz"))</f>
        <v>0</v>
      </c>
      <c r="M125" s="43" t="n">
        <f aca="false">SUMPRODUCT((MONTH('⚫ Confirmed Attrition'!$G$5:$G$1000)=11)*(YEAR('⚫ Confirmed Attrition'!$G$5:$G$1000)=2026)*('⚫ Confirmed Attrition'!$D$5:$D$1000="Alanie Sanchez Lapuz"))</f>
        <v>0</v>
      </c>
      <c r="N125" s="43" t="n">
        <f aca="false">SUMPRODUCT((MONTH('⚫ Confirmed Attrition'!$G$5:$G$1000)=12)*(YEAR('⚫ Confirmed Attrition'!$G$5:$G$1000)=2026)*('⚫ Confirmed Attrition'!$D$5:$D$1000="Alanie Sanchez Lapuz"))</f>
        <v>0</v>
      </c>
    </row>
    <row r="126" customFormat="false" ht="18" hidden="false" customHeight="true" outlineLevel="0" collapsed="false">
      <c r="B126" s="44" t="s">
        <v>85</v>
      </c>
      <c r="C126" s="45" t="n">
        <v>0</v>
      </c>
      <c r="D126" s="45" t="n">
        <v>0</v>
      </c>
      <c r="E126" s="45" t="n">
        <v>0</v>
      </c>
      <c r="F126" s="45" t="n">
        <v>0</v>
      </c>
      <c r="G126" s="45" t="n">
        <v>0</v>
      </c>
      <c r="H126" s="45" t="n">
        <v>0</v>
      </c>
      <c r="I126" s="45" t="n">
        <v>0</v>
      </c>
      <c r="J126" s="45" t="n">
        <v>0</v>
      </c>
      <c r="K126" s="45" t="n">
        <v>0</v>
      </c>
      <c r="L126" s="45" t="n">
        <v>0</v>
      </c>
      <c r="M126" s="45" t="n">
        <v>0</v>
      </c>
      <c r="N126" s="45" t="n">
        <v>0</v>
      </c>
    </row>
    <row r="127" customFormat="false" ht="18" hidden="false" customHeight="true" outlineLevel="0" collapsed="false">
      <c r="B127" s="44" t="s">
        <v>86</v>
      </c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</row>
    <row r="128" customFormat="false" ht="18" hidden="false" customHeight="true" outlineLevel="0" collapsed="false">
      <c r="B128" s="44" t="s">
        <v>87</v>
      </c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</row>
    <row r="129" customFormat="false" ht="18" hidden="false" customHeight="true" outlineLevel="0" collapsed="false">
      <c r="B129" s="36" t="s">
        <v>88</v>
      </c>
      <c r="C129" s="37" t="n">
        <v>5</v>
      </c>
      <c r="D129" s="37" t="n">
        <v>0</v>
      </c>
      <c r="E129" s="37" t="n">
        <v>0</v>
      </c>
      <c r="F129" s="37" t="n">
        <v>0</v>
      </c>
      <c r="G129" s="37" t="n">
        <v>0</v>
      </c>
      <c r="H129" s="37" t="n">
        <v>0</v>
      </c>
      <c r="I129" s="37" t="n">
        <v>0</v>
      </c>
      <c r="J129" s="37" t="n">
        <v>0</v>
      </c>
      <c r="K129" s="37" t="n">
        <v>0</v>
      </c>
      <c r="L129" s="37" t="n">
        <v>0</v>
      </c>
      <c r="M129" s="37" t="n">
        <v>0</v>
      </c>
      <c r="N129" s="37" t="n">
        <v>0</v>
      </c>
    </row>
    <row r="132" customFormat="false" ht="27.75" hidden="false" customHeight="true" outlineLevel="0" collapsed="false">
      <c r="B132" s="46" t="s">
        <v>93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</row>
    <row r="133" customFormat="false" ht="3.75" hidden="false" customHeight="true" outlineLevel="0" collapsed="false"/>
    <row r="134" customFormat="false" ht="25.5" hidden="false" customHeight="true" outlineLevel="0" collapsed="false">
      <c r="B134" s="47" t="s">
        <v>16</v>
      </c>
      <c r="C134" s="47" t="s">
        <v>68</v>
      </c>
      <c r="D134" s="47" t="s">
        <v>69</v>
      </c>
      <c r="E134" s="47" t="s">
        <v>70</v>
      </c>
      <c r="F134" s="47" t="s">
        <v>71</v>
      </c>
      <c r="G134" s="47" t="s">
        <v>72</v>
      </c>
      <c r="H134" s="47" t="s">
        <v>73</v>
      </c>
      <c r="I134" s="47" t="s">
        <v>74</v>
      </c>
      <c r="J134" s="47" t="s">
        <v>75</v>
      </c>
      <c r="K134" s="47" t="s">
        <v>76</v>
      </c>
      <c r="L134" s="47" t="s">
        <v>77</v>
      </c>
      <c r="M134" s="47" t="s">
        <v>78</v>
      </c>
      <c r="N134" s="47" t="s">
        <v>79</v>
      </c>
    </row>
    <row r="135" customFormat="false" ht="18" hidden="false" customHeight="true" outlineLevel="0" collapsed="false">
      <c r="B135" s="36" t="s">
        <v>80</v>
      </c>
      <c r="C135" s="37" t="n">
        <v>24</v>
      </c>
      <c r="D135" s="37" t="n">
        <v>0</v>
      </c>
      <c r="E135" s="37" t="n">
        <v>0</v>
      </c>
      <c r="F135" s="37" t="n">
        <v>0</v>
      </c>
      <c r="G135" s="37" t="n">
        <v>0</v>
      </c>
      <c r="H135" s="37" t="n">
        <v>0</v>
      </c>
      <c r="I135" s="37" t="n">
        <v>0</v>
      </c>
      <c r="J135" s="37" t="n">
        <v>0</v>
      </c>
      <c r="K135" s="37" t="n">
        <v>0</v>
      </c>
      <c r="L135" s="37" t="n">
        <v>0</v>
      </c>
      <c r="M135" s="37" t="n">
        <v>0</v>
      </c>
      <c r="N135" s="37" t="n">
        <v>0</v>
      </c>
    </row>
    <row r="136" customFormat="false" ht="18" hidden="false" customHeight="true" outlineLevel="0" collapsed="false">
      <c r="B136" s="38" t="s">
        <v>81</v>
      </c>
      <c r="C136" s="39" t="n">
        <v>0</v>
      </c>
      <c r="D136" s="39" t="n">
        <v>0</v>
      </c>
      <c r="E136" s="39" t="n">
        <v>0</v>
      </c>
      <c r="F136" s="39" t="n">
        <v>0</v>
      </c>
      <c r="G136" s="39" t="n">
        <v>0</v>
      </c>
      <c r="H136" s="39" t="n">
        <v>0</v>
      </c>
      <c r="I136" s="39" t="n">
        <v>0</v>
      </c>
      <c r="J136" s="39" t="n">
        <v>0</v>
      </c>
      <c r="K136" s="39" t="n">
        <v>0</v>
      </c>
      <c r="L136" s="39" t="n">
        <v>0</v>
      </c>
      <c r="M136" s="39" t="n">
        <v>0</v>
      </c>
      <c r="N136" s="39" t="n">
        <v>0</v>
      </c>
    </row>
    <row r="137" customFormat="false" ht="18" hidden="false" customHeight="true" outlineLevel="0" collapsed="false">
      <c r="B137" s="40" t="s">
        <v>82</v>
      </c>
      <c r="C137" s="41" t="n">
        <v>0</v>
      </c>
      <c r="D137" s="41" t="n">
        <v>0</v>
      </c>
      <c r="E137" s="41" t="n">
        <v>0</v>
      </c>
      <c r="F137" s="41" t="n">
        <v>0</v>
      </c>
      <c r="G137" s="41" t="n">
        <v>0</v>
      </c>
      <c r="H137" s="41" t="n">
        <v>0</v>
      </c>
      <c r="I137" s="41" t="n">
        <v>0</v>
      </c>
      <c r="J137" s="41" t="n">
        <v>0</v>
      </c>
      <c r="K137" s="41" t="n">
        <v>0</v>
      </c>
      <c r="L137" s="41" t="n">
        <v>0</v>
      </c>
      <c r="M137" s="41" t="n">
        <v>0</v>
      </c>
      <c r="N137" s="41" t="n">
        <v>0</v>
      </c>
    </row>
    <row r="138" customFormat="false" ht="18" hidden="false" customHeight="true" outlineLevel="0" collapsed="false">
      <c r="B138" s="38" t="s">
        <v>83</v>
      </c>
      <c r="C138" s="39" t="n">
        <v>0</v>
      </c>
      <c r="D138" s="39" t="n">
        <v>0</v>
      </c>
      <c r="E138" s="39" t="n">
        <v>0</v>
      </c>
      <c r="F138" s="39" t="n">
        <v>0</v>
      </c>
      <c r="G138" s="39" t="n">
        <v>0</v>
      </c>
      <c r="H138" s="39" t="n">
        <v>0</v>
      </c>
      <c r="I138" s="39" t="n">
        <v>0</v>
      </c>
      <c r="J138" s="39" t="n">
        <v>0</v>
      </c>
      <c r="K138" s="39" t="n">
        <v>0</v>
      </c>
      <c r="L138" s="39" t="n">
        <v>0</v>
      </c>
      <c r="M138" s="39" t="n">
        <v>0</v>
      </c>
      <c r="N138" s="39" t="n">
        <v>0</v>
      </c>
    </row>
    <row r="139" customFormat="false" ht="18" hidden="false" customHeight="true" outlineLevel="0" collapsed="false">
      <c r="B139" s="42" t="s">
        <v>84</v>
      </c>
      <c r="C139" s="43" t="n">
        <f aca="false">SUMPRODUCT((MONTH('⚫ Confirmed Attrition'!$G$5:$G$1000)=1)*(YEAR('⚫ Confirmed Attrition'!$G$5:$G$1000)=2026)*('⚫ Confirmed Attrition'!$D$5:$D$1000="Alyana Marie Jose Dela Cruz"))</f>
        <v>0</v>
      </c>
      <c r="D139" s="43" t="n">
        <f aca="false">SUMPRODUCT((MONTH('⚫ Confirmed Attrition'!$G$5:$G$1000)=2)*(YEAR('⚫ Confirmed Attrition'!$G$5:$G$1000)=2026)*('⚫ Confirmed Attrition'!$D$5:$D$1000="Alyana Marie Jose Dela Cruz"))</f>
        <v>0</v>
      </c>
      <c r="E139" s="43" t="n">
        <f aca="false">SUMPRODUCT((MONTH('⚫ Confirmed Attrition'!$G$5:$G$1000)=3)*(YEAR('⚫ Confirmed Attrition'!$G$5:$G$1000)=2026)*('⚫ Confirmed Attrition'!$D$5:$D$1000="Alyana Marie Jose Dela Cruz"))</f>
        <v>0</v>
      </c>
      <c r="F139" s="43" t="n">
        <f aca="false">SUMPRODUCT((MONTH('⚫ Confirmed Attrition'!$G$5:$G$1000)=4)*(YEAR('⚫ Confirmed Attrition'!$G$5:$G$1000)=2026)*('⚫ Confirmed Attrition'!$D$5:$D$1000="Alyana Marie Jose Dela Cruz"))</f>
        <v>0</v>
      </c>
      <c r="G139" s="43" t="n">
        <f aca="false">SUMPRODUCT((MONTH('⚫ Confirmed Attrition'!$G$5:$G$1000)=5)*(YEAR('⚫ Confirmed Attrition'!$G$5:$G$1000)=2026)*('⚫ Confirmed Attrition'!$D$5:$D$1000="Alyana Marie Jose Dela Cruz"))</f>
        <v>0</v>
      </c>
      <c r="H139" s="43" t="n">
        <f aca="false">SUMPRODUCT((MONTH('⚫ Confirmed Attrition'!$G$5:$G$1000)=6)*(YEAR('⚫ Confirmed Attrition'!$G$5:$G$1000)=2026)*('⚫ Confirmed Attrition'!$D$5:$D$1000="Alyana Marie Jose Dela Cruz"))</f>
        <v>0</v>
      </c>
      <c r="I139" s="43" t="n">
        <f aca="false">SUMPRODUCT((MONTH('⚫ Confirmed Attrition'!$G$5:$G$1000)=7)*(YEAR('⚫ Confirmed Attrition'!$G$5:$G$1000)=2026)*('⚫ Confirmed Attrition'!$D$5:$D$1000="Alyana Marie Jose Dela Cruz"))</f>
        <v>0</v>
      </c>
      <c r="J139" s="43" t="n">
        <f aca="false">SUMPRODUCT((MONTH('⚫ Confirmed Attrition'!$G$5:$G$1000)=8)*(YEAR('⚫ Confirmed Attrition'!$G$5:$G$1000)=2026)*('⚫ Confirmed Attrition'!$D$5:$D$1000="Alyana Marie Jose Dela Cruz"))</f>
        <v>0</v>
      </c>
      <c r="K139" s="43" t="n">
        <f aca="false">SUMPRODUCT((MONTH('⚫ Confirmed Attrition'!$G$5:$G$1000)=9)*(YEAR('⚫ Confirmed Attrition'!$G$5:$G$1000)=2026)*('⚫ Confirmed Attrition'!$D$5:$D$1000="Alyana Marie Jose Dela Cruz"))</f>
        <v>0</v>
      </c>
      <c r="L139" s="43" t="n">
        <f aca="false">SUMPRODUCT((MONTH('⚫ Confirmed Attrition'!$G$5:$G$1000)=10)*(YEAR('⚫ Confirmed Attrition'!$G$5:$G$1000)=2026)*('⚫ Confirmed Attrition'!$D$5:$D$1000="Alyana Marie Jose Dela Cruz"))</f>
        <v>0</v>
      </c>
      <c r="M139" s="43" t="n">
        <f aca="false">SUMPRODUCT((MONTH('⚫ Confirmed Attrition'!$G$5:$G$1000)=11)*(YEAR('⚫ Confirmed Attrition'!$G$5:$G$1000)=2026)*('⚫ Confirmed Attrition'!$D$5:$D$1000="Alyana Marie Jose Dela Cruz"))</f>
        <v>0</v>
      </c>
      <c r="N139" s="43" t="n">
        <f aca="false">SUMPRODUCT((MONTH('⚫ Confirmed Attrition'!$G$5:$G$1000)=12)*(YEAR('⚫ Confirmed Attrition'!$G$5:$G$1000)=2026)*('⚫ Confirmed Attrition'!$D$5:$D$1000="Alyana Marie Jose Dela Cruz"))</f>
        <v>0</v>
      </c>
    </row>
    <row r="140" customFormat="false" ht="18" hidden="false" customHeight="true" outlineLevel="0" collapsed="false">
      <c r="B140" s="44" t="s">
        <v>85</v>
      </c>
      <c r="C140" s="45" t="n">
        <v>0</v>
      </c>
      <c r="D140" s="45" t="n">
        <v>0</v>
      </c>
      <c r="E140" s="45" t="n">
        <v>0</v>
      </c>
      <c r="F140" s="45" t="n">
        <v>0</v>
      </c>
      <c r="G140" s="45" t="n">
        <v>0</v>
      </c>
      <c r="H140" s="45" t="n">
        <v>0</v>
      </c>
      <c r="I140" s="45" t="n">
        <v>0</v>
      </c>
      <c r="J140" s="45" t="n">
        <v>0</v>
      </c>
      <c r="K140" s="45" t="n">
        <v>0</v>
      </c>
      <c r="L140" s="45" t="n">
        <v>0</v>
      </c>
      <c r="M140" s="45" t="n">
        <v>0</v>
      </c>
      <c r="N140" s="45" t="n">
        <v>0</v>
      </c>
    </row>
    <row r="141" customFormat="false" ht="18" hidden="false" customHeight="true" outlineLevel="0" collapsed="false">
      <c r="B141" s="44" t="s">
        <v>86</v>
      </c>
      <c r="C141" s="45" t="n">
        <v>0</v>
      </c>
      <c r="D141" s="45" t="n">
        <v>0</v>
      </c>
      <c r="E141" s="45" t="n">
        <v>0</v>
      </c>
      <c r="F141" s="45" t="n">
        <v>0</v>
      </c>
      <c r="G141" s="45" t="n">
        <v>0</v>
      </c>
      <c r="H141" s="45" t="n">
        <v>0</v>
      </c>
      <c r="I141" s="45" t="n">
        <v>0</v>
      </c>
      <c r="J141" s="45" t="n">
        <v>0</v>
      </c>
      <c r="K141" s="45" t="n">
        <v>0</v>
      </c>
      <c r="L141" s="45" t="n">
        <v>0</v>
      </c>
      <c r="M141" s="45" t="n">
        <v>0</v>
      </c>
      <c r="N141" s="45" t="n">
        <v>0</v>
      </c>
    </row>
    <row r="142" customFormat="false" ht="18" hidden="false" customHeight="true" outlineLevel="0" collapsed="false">
      <c r="B142" s="44" t="s">
        <v>87</v>
      </c>
      <c r="C142" s="45" t="n">
        <v>0</v>
      </c>
      <c r="D142" s="45" t="n">
        <v>0</v>
      </c>
      <c r="E142" s="45" t="n">
        <v>0</v>
      </c>
      <c r="F142" s="45" t="n">
        <v>0</v>
      </c>
      <c r="G142" s="45" t="n">
        <v>0</v>
      </c>
      <c r="H142" s="45" t="n">
        <v>0</v>
      </c>
      <c r="I142" s="45" t="n">
        <v>0</v>
      </c>
      <c r="J142" s="45" t="n">
        <v>0</v>
      </c>
      <c r="K142" s="45" t="n">
        <v>0</v>
      </c>
      <c r="L142" s="45" t="n">
        <v>0</v>
      </c>
      <c r="M142" s="45" t="n">
        <v>0</v>
      </c>
      <c r="N142" s="45" t="n">
        <v>0</v>
      </c>
    </row>
    <row r="143" customFormat="false" ht="18" hidden="false" customHeight="true" outlineLevel="0" collapsed="false">
      <c r="B143" s="36" t="s">
        <v>88</v>
      </c>
      <c r="C143" s="37" t="n">
        <v>24</v>
      </c>
      <c r="D143" s="37" t="n">
        <v>0</v>
      </c>
      <c r="E143" s="37" t="n">
        <v>0</v>
      </c>
      <c r="F143" s="37" t="n">
        <v>0</v>
      </c>
      <c r="G143" s="37" t="n">
        <v>0</v>
      </c>
      <c r="H143" s="37" t="n">
        <v>0</v>
      </c>
      <c r="I143" s="37" t="n">
        <v>0</v>
      </c>
      <c r="J143" s="37" t="n">
        <v>0</v>
      </c>
      <c r="K143" s="37" t="n">
        <v>0</v>
      </c>
      <c r="L143" s="37" t="n">
        <v>0</v>
      </c>
      <c r="M143" s="37" t="n">
        <v>0</v>
      </c>
      <c r="N143" s="37" t="n">
        <v>0</v>
      </c>
    </row>
    <row r="146" customFormat="false" ht="27.75" hidden="false" customHeight="true" outlineLevel="0" collapsed="false">
      <c r="B146" s="46" t="s">
        <v>94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</row>
    <row r="147" customFormat="false" ht="3.75" hidden="false" customHeight="true" outlineLevel="0" collapsed="false"/>
    <row r="148" customFormat="false" ht="25.5" hidden="false" customHeight="true" outlineLevel="0" collapsed="false">
      <c r="B148" s="47" t="s">
        <v>17</v>
      </c>
      <c r="C148" s="47" t="s">
        <v>68</v>
      </c>
      <c r="D148" s="47" t="s">
        <v>69</v>
      </c>
      <c r="E148" s="47" t="s">
        <v>70</v>
      </c>
      <c r="F148" s="47" t="s">
        <v>71</v>
      </c>
      <c r="G148" s="47" t="s">
        <v>72</v>
      </c>
      <c r="H148" s="47" t="s">
        <v>73</v>
      </c>
      <c r="I148" s="47" t="s">
        <v>74</v>
      </c>
      <c r="J148" s="47" t="s">
        <v>75</v>
      </c>
      <c r="K148" s="47" t="s">
        <v>76</v>
      </c>
      <c r="L148" s="47" t="s">
        <v>77</v>
      </c>
      <c r="M148" s="47" t="s">
        <v>78</v>
      </c>
      <c r="N148" s="47" t="s">
        <v>79</v>
      </c>
    </row>
    <row r="149" customFormat="false" ht="18" hidden="false" customHeight="true" outlineLevel="0" collapsed="false">
      <c r="B149" s="36" t="s">
        <v>80</v>
      </c>
      <c r="C149" s="37" t="n">
        <v>18</v>
      </c>
      <c r="D149" s="37" t="n">
        <v>0</v>
      </c>
      <c r="E149" s="37" t="n">
        <v>0</v>
      </c>
      <c r="F149" s="37" t="n">
        <v>0</v>
      </c>
      <c r="G149" s="37" t="n">
        <v>0</v>
      </c>
      <c r="H149" s="37" t="n">
        <v>0</v>
      </c>
      <c r="I149" s="37" t="n">
        <v>0</v>
      </c>
      <c r="J149" s="37" t="n">
        <v>0</v>
      </c>
      <c r="K149" s="37" t="n">
        <v>0</v>
      </c>
      <c r="L149" s="37" t="n">
        <v>0</v>
      </c>
      <c r="M149" s="37" t="n">
        <v>0</v>
      </c>
      <c r="N149" s="37" t="n">
        <v>0</v>
      </c>
    </row>
    <row r="150" customFormat="false" ht="18" hidden="false" customHeight="true" outlineLevel="0" collapsed="false">
      <c r="B150" s="38" t="s">
        <v>81</v>
      </c>
      <c r="C150" s="39" t="n">
        <v>0</v>
      </c>
      <c r="D150" s="39" t="n">
        <v>0</v>
      </c>
      <c r="E150" s="39" t="n">
        <v>0</v>
      </c>
      <c r="F150" s="39" t="n">
        <v>0</v>
      </c>
      <c r="G150" s="39" t="n">
        <v>0</v>
      </c>
      <c r="H150" s="39" t="n">
        <v>0</v>
      </c>
      <c r="I150" s="39" t="n">
        <v>0</v>
      </c>
      <c r="J150" s="39" t="n">
        <v>0</v>
      </c>
      <c r="K150" s="39" t="n">
        <v>0</v>
      </c>
      <c r="L150" s="39" t="n">
        <v>0</v>
      </c>
      <c r="M150" s="39" t="n">
        <v>0</v>
      </c>
      <c r="N150" s="39" t="n">
        <v>0</v>
      </c>
    </row>
    <row r="151" customFormat="false" ht="18" hidden="false" customHeight="true" outlineLevel="0" collapsed="false">
      <c r="B151" s="40" t="s">
        <v>82</v>
      </c>
      <c r="C151" s="41" t="n">
        <v>0</v>
      </c>
      <c r="D151" s="41" t="n">
        <v>0</v>
      </c>
      <c r="E151" s="41" t="n">
        <v>0</v>
      </c>
      <c r="F151" s="41" t="n">
        <v>0</v>
      </c>
      <c r="G151" s="41" t="n">
        <v>0</v>
      </c>
      <c r="H151" s="41" t="n">
        <v>0</v>
      </c>
      <c r="I151" s="41" t="n">
        <v>0</v>
      </c>
      <c r="J151" s="41" t="n">
        <v>0</v>
      </c>
      <c r="K151" s="41" t="n">
        <v>0</v>
      </c>
      <c r="L151" s="41" t="n">
        <v>0</v>
      </c>
      <c r="M151" s="41" t="n">
        <v>0</v>
      </c>
      <c r="N151" s="41" t="n">
        <v>0</v>
      </c>
    </row>
    <row r="152" customFormat="false" ht="18" hidden="false" customHeight="true" outlineLevel="0" collapsed="false">
      <c r="B152" s="38" t="s">
        <v>83</v>
      </c>
      <c r="C152" s="39" t="n">
        <v>0</v>
      </c>
      <c r="D152" s="39" t="n">
        <v>0</v>
      </c>
      <c r="E152" s="39" t="n">
        <v>0</v>
      </c>
      <c r="F152" s="39" t="n">
        <v>0</v>
      </c>
      <c r="G152" s="39" t="n">
        <v>0</v>
      </c>
      <c r="H152" s="39" t="n">
        <v>0</v>
      </c>
      <c r="I152" s="39" t="n">
        <v>0</v>
      </c>
      <c r="J152" s="39" t="n">
        <v>0</v>
      </c>
      <c r="K152" s="39" t="n">
        <v>0</v>
      </c>
      <c r="L152" s="39" t="n">
        <v>0</v>
      </c>
      <c r="M152" s="39" t="n">
        <v>0</v>
      </c>
      <c r="N152" s="39" t="n">
        <v>0</v>
      </c>
    </row>
    <row r="153" customFormat="false" ht="18" hidden="false" customHeight="true" outlineLevel="0" collapsed="false">
      <c r="B153" s="42" t="s">
        <v>84</v>
      </c>
      <c r="C153" s="43" t="n">
        <f aca="false">SUMPRODUCT((MONTH('⚫ Confirmed Attrition'!$G$5:$G$1000)=1)*(YEAR('⚫ Confirmed Attrition'!$G$5:$G$1000)=2026)*('⚫ Confirmed Attrition'!$D$5:$D$1000="Archiene Ross Calderon Herbias"))</f>
        <v>0</v>
      </c>
      <c r="D153" s="43" t="n">
        <f aca="false">SUMPRODUCT((MONTH('⚫ Confirmed Attrition'!$G$5:$G$1000)=2)*(YEAR('⚫ Confirmed Attrition'!$G$5:$G$1000)=2026)*('⚫ Confirmed Attrition'!$D$5:$D$1000="Archiene Ross Calderon Herbias"))</f>
        <v>0</v>
      </c>
      <c r="E153" s="43" t="n">
        <f aca="false">SUMPRODUCT((MONTH('⚫ Confirmed Attrition'!$G$5:$G$1000)=3)*(YEAR('⚫ Confirmed Attrition'!$G$5:$G$1000)=2026)*('⚫ Confirmed Attrition'!$D$5:$D$1000="Archiene Ross Calderon Herbias"))</f>
        <v>0</v>
      </c>
      <c r="F153" s="43" t="n">
        <f aca="false">SUMPRODUCT((MONTH('⚫ Confirmed Attrition'!$G$5:$G$1000)=4)*(YEAR('⚫ Confirmed Attrition'!$G$5:$G$1000)=2026)*('⚫ Confirmed Attrition'!$D$5:$D$1000="Archiene Ross Calderon Herbias"))</f>
        <v>0</v>
      </c>
      <c r="G153" s="43" t="n">
        <f aca="false">SUMPRODUCT((MONTH('⚫ Confirmed Attrition'!$G$5:$G$1000)=5)*(YEAR('⚫ Confirmed Attrition'!$G$5:$G$1000)=2026)*('⚫ Confirmed Attrition'!$D$5:$D$1000="Archiene Ross Calderon Herbias"))</f>
        <v>0</v>
      </c>
      <c r="H153" s="43" t="n">
        <f aca="false">SUMPRODUCT((MONTH('⚫ Confirmed Attrition'!$G$5:$G$1000)=6)*(YEAR('⚫ Confirmed Attrition'!$G$5:$G$1000)=2026)*('⚫ Confirmed Attrition'!$D$5:$D$1000="Archiene Ross Calderon Herbias"))</f>
        <v>0</v>
      </c>
      <c r="I153" s="43" t="n">
        <f aca="false">SUMPRODUCT((MONTH('⚫ Confirmed Attrition'!$G$5:$G$1000)=7)*(YEAR('⚫ Confirmed Attrition'!$G$5:$G$1000)=2026)*('⚫ Confirmed Attrition'!$D$5:$D$1000="Archiene Ross Calderon Herbias"))</f>
        <v>0</v>
      </c>
      <c r="J153" s="43" t="n">
        <f aca="false">SUMPRODUCT((MONTH('⚫ Confirmed Attrition'!$G$5:$G$1000)=8)*(YEAR('⚫ Confirmed Attrition'!$G$5:$G$1000)=2026)*('⚫ Confirmed Attrition'!$D$5:$D$1000="Archiene Ross Calderon Herbias"))</f>
        <v>0</v>
      </c>
      <c r="K153" s="43" t="n">
        <f aca="false">SUMPRODUCT((MONTH('⚫ Confirmed Attrition'!$G$5:$G$1000)=9)*(YEAR('⚫ Confirmed Attrition'!$G$5:$G$1000)=2026)*('⚫ Confirmed Attrition'!$D$5:$D$1000="Archiene Ross Calderon Herbias"))</f>
        <v>0</v>
      </c>
      <c r="L153" s="43" t="n">
        <f aca="false">SUMPRODUCT((MONTH('⚫ Confirmed Attrition'!$G$5:$G$1000)=10)*(YEAR('⚫ Confirmed Attrition'!$G$5:$G$1000)=2026)*('⚫ Confirmed Attrition'!$D$5:$D$1000="Archiene Ross Calderon Herbias"))</f>
        <v>0</v>
      </c>
      <c r="M153" s="43" t="n">
        <f aca="false">SUMPRODUCT((MONTH('⚫ Confirmed Attrition'!$G$5:$G$1000)=11)*(YEAR('⚫ Confirmed Attrition'!$G$5:$G$1000)=2026)*('⚫ Confirmed Attrition'!$D$5:$D$1000="Archiene Ross Calderon Herbias"))</f>
        <v>0</v>
      </c>
      <c r="N153" s="43" t="n">
        <f aca="false">SUMPRODUCT((MONTH('⚫ Confirmed Attrition'!$G$5:$G$1000)=12)*(YEAR('⚫ Confirmed Attrition'!$G$5:$G$1000)=2026)*('⚫ Confirmed Attrition'!$D$5:$D$1000="Archiene Ross Calderon Herbias"))</f>
        <v>0</v>
      </c>
    </row>
    <row r="154" customFormat="false" ht="18" hidden="false" customHeight="true" outlineLevel="0" collapsed="false">
      <c r="B154" s="44" t="s">
        <v>85</v>
      </c>
      <c r="C154" s="45" t="n">
        <v>0</v>
      </c>
      <c r="D154" s="45" t="n">
        <v>0</v>
      </c>
      <c r="E154" s="45" t="n">
        <v>0</v>
      </c>
      <c r="F154" s="45" t="n">
        <v>0</v>
      </c>
      <c r="G154" s="45" t="n">
        <v>0</v>
      </c>
      <c r="H154" s="45" t="n">
        <v>0</v>
      </c>
      <c r="I154" s="45" t="n">
        <v>0</v>
      </c>
      <c r="J154" s="45" t="n">
        <v>0</v>
      </c>
      <c r="K154" s="45" t="n">
        <v>0</v>
      </c>
      <c r="L154" s="45" t="n">
        <v>0</v>
      </c>
      <c r="M154" s="45" t="n">
        <v>0</v>
      </c>
      <c r="N154" s="45" t="n">
        <v>0</v>
      </c>
    </row>
    <row r="155" customFormat="false" ht="18" hidden="false" customHeight="true" outlineLevel="0" collapsed="false">
      <c r="B155" s="44" t="s">
        <v>86</v>
      </c>
      <c r="C155" s="45" t="n">
        <v>0</v>
      </c>
      <c r="D155" s="45" t="n">
        <v>0</v>
      </c>
      <c r="E155" s="45" t="n">
        <v>0</v>
      </c>
      <c r="F155" s="45" t="n">
        <v>0</v>
      </c>
      <c r="G155" s="45" t="n">
        <v>0</v>
      </c>
      <c r="H155" s="45" t="n">
        <v>0</v>
      </c>
      <c r="I155" s="45" t="n">
        <v>0</v>
      </c>
      <c r="J155" s="45" t="n">
        <v>0</v>
      </c>
      <c r="K155" s="45" t="n">
        <v>0</v>
      </c>
      <c r="L155" s="45" t="n">
        <v>0</v>
      </c>
      <c r="M155" s="45" t="n">
        <v>0</v>
      </c>
      <c r="N155" s="45" t="n">
        <v>0</v>
      </c>
    </row>
    <row r="156" customFormat="false" ht="18" hidden="false" customHeight="true" outlineLevel="0" collapsed="false">
      <c r="B156" s="44" t="s">
        <v>87</v>
      </c>
      <c r="C156" s="45" t="n">
        <v>0</v>
      </c>
      <c r="D156" s="45" t="n">
        <v>0</v>
      </c>
      <c r="E156" s="45" t="n">
        <v>0</v>
      </c>
      <c r="F156" s="45" t="n">
        <v>0</v>
      </c>
      <c r="G156" s="45" t="n">
        <v>0</v>
      </c>
      <c r="H156" s="45" t="n">
        <v>0</v>
      </c>
      <c r="I156" s="45" t="n">
        <v>0</v>
      </c>
      <c r="J156" s="45" t="n">
        <v>0</v>
      </c>
      <c r="K156" s="45" t="n">
        <v>0</v>
      </c>
      <c r="L156" s="45" t="n">
        <v>0</v>
      </c>
      <c r="M156" s="45" t="n">
        <v>0</v>
      </c>
      <c r="N156" s="45" t="n">
        <v>0</v>
      </c>
    </row>
    <row r="157" customFormat="false" ht="18" hidden="false" customHeight="true" outlineLevel="0" collapsed="false">
      <c r="B157" s="36" t="s">
        <v>88</v>
      </c>
      <c r="C157" s="37" t="n">
        <v>18</v>
      </c>
      <c r="D157" s="37" t="n">
        <v>0</v>
      </c>
      <c r="E157" s="37" t="n">
        <v>0</v>
      </c>
      <c r="F157" s="37" t="n">
        <v>0</v>
      </c>
      <c r="G157" s="37" t="n">
        <v>0</v>
      </c>
      <c r="H157" s="37" t="n">
        <v>0</v>
      </c>
      <c r="I157" s="37" t="n">
        <v>0</v>
      </c>
      <c r="J157" s="37" t="n">
        <v>0</v>
      </c>
      <c r="K157" s="37" t="n">
        <v>0</v>
      </c>
      <c r="L157" s="37" t="n">
        <v>0</v>
      </c>
      <c r="M157" s="37" t="n">
        <v>0</v>
      </c>
      <c r="N157" s="37" t="n">
        <v>0</v>
      </c>
    </row>
    <row r="160" customFormat="false" ht="27.75" hidden="false" customHeight="true" outlineLevel="0" collapsed="false">
      <c r="B160" s="46" t="s">
        <v>95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</row>
    <row r="161" customFormat="false" ht="3.75" hidden="false" customHeight="true" outlineLevel="0" collapsed="false"/>
    <row r="162" customFormat="false" ht="25.5" hidden="false" customHeight="true" outlineLevel="0" collapsed="false">
      <c r="B162" s="47" t="s">
        <v>18</v>
      </c>
      <c r="C162" s="47" t="s">
        <v>68</v>
      </c>
      <c r="D162" s="47" t="s">
        <v>69</v>
      </c>
      <c r="E162" s="47" t="s">
        <v>70</v>
      </c>
      <c r="F162" s="47" t="s">
        <v>71</v>
      </c>
      <c r="G162" s="47" t="s">
        <v>72</v>
      </c>
      <c r="H162" s="47" t="s">
        <v>73</v>
      </c>
      <c r="I162" s="47" t="s">
        <v>74</v>
      </c>
      <c r="J162" s="47" t="s">
        <v>75</v>
      </c>
      <c r="K162" s="47" t="s">
        <v>76</v>
      </c>
      <c r="L162" s="47" t="s">
        <v>77</v>
      </c>
      <c r="M162" s="47" t="s">
        <v>78</v>
      </c>
      <c r="N162" s="47" t="s">
        <v>79</v>
      </c>
    </row>
    <row r="163" customFormat="false" ht="18" hidden="false" customHeight="true" outlineLevel="0" collapsed="false">
      <c r="B163" s="36" t="s">
        <v>80</v>
      </c>
      <c r="C163" s="37" t="n">
        <v>19</v>
      </c>
      <c r="D163" s="37" t="n">
        <v>0</v>
      </c>
      <c r="E163" s="37" t="n">
        <v>0</v>
      </c>
      <c r="F163" s="37" t="n">
        <v>0</v>
      </c>
      <c r="G163" s="37" t="n">
        <v>0</v>
      </c>
      <c r="H163" s="37" t="n">
        <v>0</v>
      </c>
      <c r="I163" s="37" t="n">
        <v>0</v>
      </c>
      <c r="J163" s="37" t="n">
        <v>0</v>
      </c>
      <c r="K163" s="37" t="n">
        <v>0</v>
      </c>
      <c r="L163" s="37" t="n">
        <v>0</v>
      </c>
      <c r="M163" s="37" t="n">
        <v>0</v>
      </c>
      <c r="N163" s="37" t="n">
        <v>0</v>
      </c>
    </row>
    <row r="164" customFormat="false" ht="18" hidden="false" customHeight="true" outlineLevel="0" collapsed="false">
      <c r="B164" s="38" t="s">
        <v>81</v>
      </c>
      <c r="C164" s="39" t="n">
        <v>0</v>
      </c>
      <c r="D164" s="39" t="n">
        <v>0</v>
      </c>
      <c r="E164" s="39" t="n">
        <v>0</v>
      </c>
      <c r="F164" s="39" t="n">
        <v>0</v>
      </c>
      <c r="G164" s="39" t="n">
        <v>0</v>
      </c>
      <c r="H164" s="39" t="n">
        <v>0</v>
      </c>
      <c r="I164" s="39" t="n">
        <v>0</v>
      </c>
      <c r="J164" s="39" t="n">
        <v>0</v>
      </c>
      <c r="K164" s="39" t="n">
        <v>0</v>
      </c>
      <c r="L164" s="39" t="n">
        <v>0</v>
      </c>
      <c r="M164" s="39" t="n">
        <v>0</v>
      </c>
      <c r="N164" s="39" t="n">
        <v>0</v>
      </c>
    </row>
    <row r="165" customFormat="false" ht="18" hidden="false" customHeight="true" outlineLevel="0" collapsed="false">
      <c r="B165" s="40" t="s">
        <v>82</v>
      </c>
      <c r="C165" s="41" t="n">
        <v>0</v>
      </c>
      <c r="D165" s="41" t="n">
        <v>0</v>
      </c>
      <c r="E165" s="41" t="n">
        <v>0</v>
      </c>
      <c r="F165" s="41" t="n">
        <v>0</v>
      </c>
      <c r="G165" s="41" t="n">
        <v>0</v>
      </c>
      <c r="H165" s="41" t="n">
        <v>0</v>
      </c>
      <c r="I165" s="41" t="n">
        <v>0</v>
      </c>
      <c r="J165" s="41" t="n">
        <v>0</v>
      </c>
      <c r="K165" s="41" t="n">
        <v>0</v>
      </c>
      <c r="L165" s="41" t="n">
        <v>0</v>
      </c>
      <c r="M165" s="41" t="n">
        <v>0</v>
      </c>
      <c r="N165" s="41" t="n">
        <v>0</v>
      </c>
    </row>
    <row r="166" customFormat="false" ht="18" hidden="false" customHeight="true" outlineLevel="0" collapsed="false">
      <c r="B166" s="38" t="s">
        <v>83</v>
      </c>
      <c r="C166" s="39" t="n">
        <v>0</v>
      </c>
      <c r="D166" s="39" t="n">
        <v>0</v>
      </c>
      <c r="E166" s="39" t="n">
        <v>0</v>
      </c>
      <c r="F166" s="39" t="n">
        <v>0</v>
      </c>
      <c r="G166" s="39" t="n">
        <v>0</v>
      </c>
      <c r="H166" s="39" t="n">
        <v>0</v>
      </c>
      <c r="I166" s="39" t="n">
        <v>0</v>
      </c>
      <c r="J166" s="39" t="n">
        <v>0</v>
      </c>
      <c r="K166" s="39" t="n">
        <v>0</v>
      </c>
      <c r="L166" s="39" t="n">
        <v>0</v>
      </c>
      <c r="M166" s="39" t="n">
        <v>0</v>
      </c>
      <c r="N166" s="39" t="n">
        <v>0</v>
      </c>
    </row>
    <row r="167" customFormat="false" ht="18" hidden="false" customHeight="true" outlineLevel="0" collapsed="false">
      <c r="B167" s="42" t="s">
        <v>84</v>
      </c>
      <c r="C167" s="43" t="n">
        <f aca="false">SUMPRODUCT((MONTH('⚫ Confirmed Attrition'!$G$5:$G$1000)=1)*(YEAR('⚫ Confirmed Attrition'!$G$5:$G$1000)=2026)*('⚫ Confirmed Attrition'!$D$5:$D$1000="Beulah Grace Arroyo Dacanay"))</f>
        <v>0</v>
      </c>
      <c r="D167" s="43" t="n">
        <f aca="false">SUMPRODUCT((MONTH('⚫ Confirmed Attrition'!$G$5:$G$1000)=2)*(YEAR('⚫ Confirmed Attrition'!$G$5:$G$1000)=2026)*('⚫ Confirmed Attrition'!$D$5:$D$1000="Beulah Grace Arroyo Dacanay"))</f>
        <v>0</v>
      </c>
      <c r="E167" s="43" t="n">
        <f aca="false">SUMPRODUCT((MONTH('⚫ Confirmed Attrition'!$G$5:$G$1000)=3)*(YEAR('⚫ Confirmed Attrition'!$G$5:$G$1000)=2026)*('⚫ Confirmed Attrition'!$D$5:$D$1000="Beulah Grace Arroyo Dacanay"))</f>
        <v>0</v>
      </c>
      <c r="F167" s="43" t="n">
        <f aca="false">SUMPRODUCT((MONTH('⚫ Confirmed Attrition'!$G$5:$G$1000)=4)*(YEAR('⚫ Confirmed Attrition'!$G$5:$G$1000)=2026)*('⚫ Confirmed Attrition'!$D$5:$D$1000="Beulah Grace Arroyo Dacanay"))</f>
        <v>0</v>
      </c>
      <c r="G167" s="43" t="n">
        <f aca="false">SUMPRODUCT((MONTH('⚫ Confirmed Attrition'!$G$5:$G$1000)=5)*(YEAR('⚫ Confirmed Attrition'!$G$5:$G$1000)=2026)*('⚫ Confirmed Attrition'!$D$5:$D$1000="Beulah Grace Arroyo Dacanay"))</f>
        <v>0</v>
      </c>
      <c r="H167" s="43" t="n">
        <f aca="false">SUMPRODUCT((MONTH('⚫ Confirmed Attrition'!$G$5:$G$1000)=6)*(YEAR('⚫ Confirmed Attrition'!$G$5:$G$1000)=2026)*('⚫ Confirmed Attrition'!$D$5:$D$1000="Beulah Grace Arroyo Dacanay"))</f>
        <v>0</v>
      </c>
      <c r="I167" s="43" t="n">
        <f aca="false">SUMPRODUCT((MONTH('⚫ Confirmed Attrition'!$G$5:$G$1000)=7)*(YEAR('⚫ Confirmed Attrition'!$G$5:$G$1000)=2026)*('⚫ Confirmed Attrition'!$D$5:$D$1000="Beulah Grace Arroyo Dacanay"))</f>
        <v>0</v>
      </c>
      <c r="J167" s="43" t="n">
        <f aca="false">SUMPRODUCT((MONTH('⚫ Confirmed Attrition'!$G$5:$G$1000)=8)*(YEAR('⚫ Confirmed Attrition'!$G$5:$G$1000)=2026)*('⚫ Confirmed Attrition'!$D$5:$D$1000="Beulah Grace Arroyo Dacanay"))</f>
        <v>0</v>
      </c>
      <c r="K167" s="43" t="n">
        <f aca="false">SUMPRODUCT((MONTH('⚫ Confirmed Attrition'!$G$5:$G$1000)=9)*(YEAR('⚫ Confirmed Attrition'!$G$5:$G$1000)=2026)*('⚫ Confirmed Attrition'!$D$5:$D$1000="Beulah Grace Arroyo Dacanay"))</f>
        <v>0</v>
      </c>
      <c r="L167" s="43" t="n">
        <f aca="false">SUMPRODUCT((MONTH('⚫ Confirmed Attrition'!$G$5:$G$1000)=10)*(YEAR('⚫ Confirmed Attrition'!$G$5:$G$1000)=2026)*('⚫ Confirmed Attrition'!$D$5:$D$1000="Beulah Grace Arroyo Dacanay"))</f>
        <v>0</v>
      </c>
      <c r="M167" s="43" t="n">
        <f aca="false">SUMPRODUCT((MONTH('⚫ Confirmed Attrition'!$G$5:$G$1000)=11)*(YEAR('⚫ Confirmed Attrition'!$G$5:$G$1000)=2026)*('⚫ Confirmed Attrition'!$D$5:$D$1000="Beulah Grace Arroyo Dacanay"))</f>
        <v>0</v>
      </c>
      <c r="N167" s="43" t="n">
        <f aca="false">SUMPRODUCT((MONTH('⚫ Confirmed Attrition'!$G$5:$G$1000)=12)*(YEAR('⚫ Confirmed Attrition'!$G$5:$G$1000)=2026)*('⚫ Confirmed Attrition'!$D$5:$D$1000="Beulah Grace Arroyo Dacanay"))</f>
        <v>0</v>
      </c>
    </row>
    <row r="168" customFormat="false" ht="18" hidden="false" customHeight="true" outlineLevel="0" collapsed="false">
      <c r="B168" s="44" t="s">
        <v>85</v>
      </c>
      <c r="C168" s="45" t="n">
        <v>0</v>
      </c>
      <c r="D168" s="45" t="n">
        <v>0</v>
      </c>
      <c r="E168" s="45" t="n">
        <v>0</v>
      </c>
      <c r="F168" s="45" t="n">
        <v>0</v>
      </c>
      <c r="G168" s="45" t="n">
        <v>0</v>
      </c>
      <c r="H168" s="45" t="n">
        <v>0</v>
      </c>
      <c r="I168" s="45" t="n">
        <v>0</v>
      </c>
      <c r="J168" s="45" t="n">
        <v>0</v>
      </c>
      <c r="K168" s="45" t="n">
        <v>0</v>
      </c>
      <c r="L168" s="45" t="n">
        <v>0</v>
      </c>
      <c r="M168" s="45" t="n">
        <v>0</v>
      </c>
      <c r="N168" s="45" t="n">
        <v>0</v>
      </c>
    </row>
    <row r="169" customFormat="false" ht="18" hidden="false" customHeight="true" outlineLevel="0" collapsed="false">
      <c r="B169" s="44" t="s">
        <v>86</v>
      </c>
      <c r="C169" s="45" t="n">
        <v>0</v>
      </c>
      <c r="D169" s="45" t="n">
        <v>0</v>
      </c>
      <c r="E169" s="45" t="n">
        <v>0</v>
      </c>
      <c r="F169" s="45" t="n">
        <v>0</v>
      </c>
      <c r="G169" s="45" t="n">
        <v>0</v>
      </c>
      <c r="H169" s="45" t="n">
        <v>0</v>
      </c>
      <c r="I169" s="45" t="n">
        <v>0</v>
      </c>
      <c r="J169" s="45" t="n">
        <v>0</v>
      </c>
      <c r="K169" s="45" t="n">
        <v>0</v>
      </c>
      <c r="L169" s="45" t="n">
        <v>0</v>
      </c>
      <c r="M169" s="45" t="n">
        <v>0</v>
      </c>
      <c r="N169" s="45" t="n">
        <v>0</v>
      </c>
    </row>
    <row r="170" customFormat="false" ht="18" hidden="false" customHeight="true" outlineLevel="0" collapsed="false">
      <c r="B170" s="44" t="s">
        <v>87</v>
      </c>
      <c r="C170" s="45" t="n">
        <v>0</v>
      </c>
      <c r="D170" s="45" t="n">
        <v>0</v>
      </c>
      <c r="E170" s="45" t="n">
        <v>0</v>
      </c>
      <c r="F170" s="45" t="n">
        <v>0</v>
      </c>
      <c r="G170" s="45" t="n">
        <v>0</v>
      </c>
      <c r="H170" s="45" t="n">
        <v>0</v>
      </c>
      <c r="I170" s="45" t="n">
        <v>0</v>
      </c>
      <c r="J170" s="45" t="n">
        <v>0</v>
      </c>
      <c r="K170" s="45" t="n">
        <v>0</v>
      </c>
      <c r="L170" s="45" t="n">
        <v>0</v>
      </c>
      <c r="M170" s="45" t="n">
        <v>0</v>
      </c>
      <c r="N170" s="45" t="n">
        <v>0</v>
      </c>
    </row>
    <row r="171" customFormat="false" ht="18" hidden="false" customHeight="true" outlineLevel="0" collapsed="false">
      <c r="B171" s="36" t="s">
        <v>88</v>
      </c>
      <c r="C171" s="37" t="n">
        <v>19</v>
      </c>
      <c r="D171" s="37" t="n">
        <v>0</v>
      </c>
      <c r="E171" s="37" t="n">
        <v>0</v>
      </c>
      <c r="F171" s="37" t="n">
        <v>0</v>
      </c>
      <c r="G171" s="37" t="n">
        <v>0</v>
      </c>
      <c r="H171" s="37" t="n">
        <v>0</v>
      </c>
      <c r="I171" s="37" t="n">
        <v>0</v>
      </c>
      <c r="J171" s="37" t="n">
        <v>0</v>
      </c>
      <c r="K171" s="37" t="n">
        <v>0</v>
      </c>
      <c r="L171" s="37" t="n">
        <v>0</v>
      </c>
      <c r="M171" s="37" t="n">
        <v>0</v>
      </c>
      <c r="N171" s="37" t="n">
        <v>0</v>
      </c>
    </row>
    <row r="174" customFormat="false" ht="27.75" hidden="false" customHeight="true" outlineLevel="0" collapsed="false">
      <c r="B174" s="46" t="s">
        <v>96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</row>
    <row r="175" customFormat="false" ht="3.75" hidden="false" customHeight="true" outlineLevel="0" collapsed="false"/>
    <row r="176" customFormat="false" ht="25.5" hidden="false" customHeight="true" outlineLevel="0" collapsed="false">
      <c r="B176" s="47" t="s">
        <v>19</v>
      </c>
      <c r="C176" s="47" t="s">
        <v>68</v>
      </c>
      <c r="D176" s="47" t="s">
        <v>69</v>
      </c>
      <c r="E176" s="47" t="s">
        <v>70</v>
      </c>
      <c r="F176" s="47" t="s">
        <v>71</v>
      </c>
      <c r="G176" s="47" t="s">
        <v>72</v>
      </c>
      <c r="H176" s="47" t="s">
        <v>73</v>
      </c>
      <c r="I176" s="47" t="s">
        <v>74</v>
      </c>
      <c r="J176" s="47" t="s">
        <v>75</v>
      </c>
      <c r="K176" s="47" t="s">
        <v>76</v>
      </c>
      <c r="L176" s="47" t="s">
        <v>77</v>
      </c>
      <c r="M176" s="47" t="s">
        <v>78</v>
      </c>
      <c r="N176" s="47" t="s">
        <v>79</v>
      </c>
    </row>
    <row r="177" customFormat="false" ht="18" hidden="false" customHeight="true" outlineLevel="0" collapsed="false">
      <c r="B177" s="36" t="s">
        <v>80</v>
      </c>
      <c r="C177" s="37" t="n">
        <v>4</v>
      </c>
      <c r="D177" s="37" t="n">
        <v>0</v>
      </c>
      <c r="E177" s="37" t="n">
        <v>0</v>
      </c>
      <c r="F177" s="37" t="n">
        <v>0</v>
      </c>
      <c r="G177" s="37" t="n">
        <v>0</v>
      </c>
      <c r="H177" s="37" t="n">
        <v>0</v>
      </c>
      <c r="I177" s="37" t="n">
        <v>0</v>
      </c>
      <c r="J177" s="37" t="n">
        <v>0</v>
      </c>
      <c r="K177" s="37" t="n">
        <v>0</v>
      </c>
      <c r="L177" s="37" t="n">
        <v>0</v>
      </c>
      <c r="M177" s="37" t="n">
        <v>0</v>
      </c>
      <c r="N177" s="37" t="n">
        <v>0</v>
      </c>
    </row>
    <row r="178" customFormat="false" ht="18" hidden="false" customHeight="true" outlineLevel="0" collapsed="false">
      <c r="B178" s="38" t="s">
        <v>81</v>
      </c>
      <c r="C178" s="39" t="n">
        <v>0</v>
      </c>
      <c r="D178" s="39" t="n">
        <v>0</v>
      </c>
      <c r="E178" s="39" t="n">
        <v>0</v>
      </c>
      <c r="F178" s="39" t="n">
        <v>0</v>
      </c>
      <c r="G178" s="39" t="n">
        <v>0</v>
      </c>
      <c r="H178" s="39" t="n">
        <v>0</v>
      </c>
      <c r="I178" s="39" t="n">
        <v>0</v>
      </c>
      <c r="J178" s="39" t="n">
        <v>0</v>
      </c>
      <c r="K178" s="39" t="n">
        <v>0</v>
      </c>
      <c r="L178" s="39" t="n">
        <v>0</v>
      </c>
      <c r="M178" s="39" t="n">
        <v>0</v>
      </c>
      <c r="N178" s="39" t="n">
        <v>0</v>
      </c>
    </row>
    <row r="179" customFormat="false" ht="18" hidden="false" customHeight="true" outlineLevel="0" collapsed="false">
      <c r="B179" s="40" t="s">
        <v>82</v>
      </c>
      <c r="C179" s="41" t="n">
        <v>0</v>
      </c>
      <c r="D179" s="41" t="n">
        <v>0</v>
      </c>
      <c r="E179" s="41" t="n">
        <v>0</v>
      </c>
      <c r="F179" s="41" t="n">
        <v>0</v>
      </c>
      <c r="G179" s="41" t="n">
        <v>0</v>
      </c>
      <c r="H179" s="41" t="n">
        <v>0</v>
      </c>
      <c r="I179" s="41" t="n">
        <v>0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n">
        <v>0</v>
      </c>
    </row>
    <row r="180" customFormat="false" ht="18" hidden="false" customHeight="true" outlineLevel="0" collapsed="false">
      <c r="B180" s="38" t="s">
        <v>83</v>
      </c>
      <c r="C180" s="39" t="n">
        <v>0</v>
      </c>
      <c r="D180" s="39" t="n">
        <v>0</v>
      </c>
      <c r="E180" s="39" t="n">
        <v>0</v>
      </c>
      <c r="F180" s="39" t="n">
        <v>0</v>
      </c>
      <c r="G180" s="39" t="n">
        <v>0</v>
      </c>
      <c r="H180" s="39" t="n">
        <v>0</v>
      </c>
      <c r="I180" s="39" t="n">
        <v>0</v>
      </c>
      <c r="J180" s="39" t="n">
        <v>0</v>
      </c>
      <c r="K180" s="39" t="n">
        <v>0</v>
      </c>
      <c r="L180" s="39" t="n">
        <v>0</v>
      </c>
      <c r="M180" s="39" t="n">
        <v>0</v>
      </c>
      <c r="N180" s="39" t="n">
        <v>0</v>
      </c>
    </row>
    <row r="181" customFormat="false" ht="18" hidden="false" customHeight="true" outlineLevel="0" collapsed="false">
      <c r="B181" s="42" t="s">
        <v>84</v>
      </c>
      <c r="C181" s="43" t="n">
        <f aca="false">SUMPRODUCT((MONTH('⚫ Confirmed Attrition'!$G$5:$G$1000)=1)*(YEAR('⚫ Confirmed Attrition'!$G$5:$G$1000)=2026)*('⚫ Confirmed Attrition'!$D$5:$D$1000="Carlo Angelo Lim Regalado"))</f>
        <v>0</v>
      </c>
      <c r="D181" s="43" t="n">
        <f aca="false">SUMPRODUCT((MONTH('⚫ Confirmed Attrition'!$G$5:$G$1000)=2)*(YEAR('⚫ Confirmed Attrition'!$G$5:$G$1000)=2026)*('⚫ Confirmed Attrition'!$D$5:$D$1000="Carlo Angelo Lim Regalado"))</f>
        <v>0</v>
      </c>
      <c r="E181" s="43" t="n">
        <f aca="false">SUMPRODUCT((MONTH('⚫ Confirmed Attrition'!$G$5:$G$1000)=3)*(YEAR('⚫ Confirmed Attrition'!$G$5:$G$1000)=2026)*('⚫ Confirmed Attrition'!$D$5:$D$1000="Carlo Angelo Lim Regalado"))</f>
        <v>0</v>
      </c>
      <c r="F181" s="43" t="n">
        <f aca="false">SUMPRODUCT((MONTH('⚫ Confirmed Attrition'!$G$5:$G$1000)=4)*(YEAR('⚫ Confirmed Attrition'!$G$5:$G$1000)=2026)*('⚫ Confirmed Attrition'!$D$5:$D$1000="Carlo Angelo Lim Regalado"))</f>
        <v>0</v>
      </c>
      <c r="G181" s="43" t="n">
        <f aca="false">SUMPRODUCT((MONTH('⚫ Confirmed Attrition'!$G$5:$G$1000)=5)*(YEAR('⚫ Confirmed Attrition'!$G$5:$G$1000)=2026)*('⚫ Confirmed Attrition'!$D$5:$D$1000="Carlo Angelo Lim Regalado"))</f>
        <v>0</v>
      </c>
      <c r="H181" s="43" t="n">
        <f aca="false">SUMPRODUCT((MONTH('⚫ Confirmed Attrition'!$G$5:$G$1000)=6)*(YEAR('⚫ Confirmed Attrition'!$G$5:$G$1000)=2026)*('⚫ Confirmed Attrition'!$D$5:$D$1000="Carlo Angelo Lim Regalado"))</f>
        <v>0</v>
      </c>
      <c r="I181" s="43" t="n">
        <f aca="false">SUMPRODUCT((MONTH('⚫ Confirmed Attrition'!$G$5:$G$1000)=7)*(YEAR('⚫ Confirmed Attrition'!$G$5:$G$1000)=2026)*('⚫ Confirmed Attrition'!$D$5:$D$1000="Carlo Angelo Lim Regalado"))</f>
        <v>0</v>
      </c>
      <c r="J181" s="43" t="n">
        <f aca="false">SUMPRODUCT((MONTH('⚫ Confirmed Attrition'!$G$5:$G$1000)=8)*(YEAR('⚫ Confirmed Attrition'!$G$5:$G$1000)=2026)*('⚫ Confirmed Attrition'!$D$5:$D$1000="Carlo Angelo Lim Regalado"))</f>
        <v>0</v>
      </c>
      <c r="K181" s="43" t="n">
        <f aca="false">SUMPRODUCT((MONTH('⚫ Confirmed Attrition'!$G$5:$G$1000)=9)*(YEAR('⚫ Confirmed Attrition'!$G$5:$G$1000)=2026)*('⚫ Confirmed Attrition'!$D$5:$D$1000="Carlo Angelo Lim Regalado"))</f>
        <v>0</v>
      </c>
      <c r="L181" s="43" t="n">
        <f aca="false">SUMPRODUCT((MONTH('⚫ Confirmed Attrition'!$G$5:$G$1000)=10)*(YEAR('⚫ Confirmed Attrition'!$G$5:$G$1000)=2026)*('⚫ Confirmed Attrition'!$D$5:$D$1000="Carlo Angelo Lim Regalado"))</f>
        <v>0</v>
      </c>
      <c r="M181" s="43" t="n">
        <f aca="false">SUMPRODUCT((MONTH('⚫ Confirmed Attrition'!$G$5:$G$1000)=11)*(YEAR('⚫ Confirmed Attrition'!$G$5:$G$1000)=2026)*('⚫ Confirmed Attrition'!$D$5:$D$1000="Carlo Angelo Lim Regalado"))</f>
        <v>0</v>
      </c>
      <c r="N181" s="43" t="n">
        <f aca="false">SUMPRODUCT((MONTH('⚫ Confirmed Attrition'!$G$5:$G$1000)=12)*(YEAR('⚫ Confirmed Attrition'!$G$5:$G$1000)=2026)*('⚫ Confirmed Attrition'!$D$5:$D$1000="Carlo Angelo Lim Regalado"))</f>
        <v>0</v>
      </c>
    </row>
    <row r="182" customFormat="false" ht="18" hidden="false" customHeight="true" outlineLevel="0" collapsed="false">
      <c r="B182" s="44" t="s">
        <v>85</v>
      </c>
      <c r="C182" s="45" t="n">
        <v>0</v>
      </c>
      <c r="D182" s="45" t="n">
        <v>0</v>
      </c>
      <c r="E182" s="45" t="n">
        <v>0</v>
      </c>
      <c r="F182" s="45" t="n">
        <v>0</v>
      </c>
      <c r="G182" s="45" t="n">
        <v>0</v>
      </c>
      <c r="H182" s="45" t="n">
        <v>0</v>
      </c>
      <c r="I182" s="45" t="n">
        <v>0</v>
      </c>
      <c r="J182" s="45" t="n">
        <v>0</v>
      </c>
      <c r="K182" s="45" t="n">
        <v>0</v>
      </c>
      <c r="L182" s="45" t="n">
        <v>0</v>
      </c>
      <c r="M182" s="45" t="n">
        <v>0</v>
      </c>
      <c r="N182" s="45" t="n">
        <v>0</v>
      </c>
    </row>
    <row r="183" customFormat="false" ht="18" hidden="false" customHeight="true" outlineLevel="0" collapsed="false">
      <c r="B183" s="44" t="s">
        <v>86</v>
      </c>
      <c r="C183" s="45" t="n">
        <v>0</v>
      </c>
      <c r="D183" s="45" t="n">
        <v>0</v>
      </c>
      <c r="E183" s="45" t="n">
        <v>0</v>
      </c>
      <c r="F183" s="45" t="n">
        <v>0</v>
      </c>
      <c r="G183" s="45" t="n">
        <v>0</v>
      </c>
      <c r="H183" s="45" t="n">
        <v>0</v>
      </c>
      <c r="I183" s="45" t="n">
        <v>0</v>
      </c>
      <c r="J183" s="45" t="n">
        <v>0</v>
      </c>
      <c r="K183" s="45" t="n">
        <v>0</v>
      </c>
      <c r="L183" s="45" t="n">
        <v>0</v>
      </c>
      <c r="M183" s="45" t="n">
        <v>0</v>
      </c>
      <c r="N183" s="45" t="n">
        <v>0</v>
      </c>
    </row>
    <row r="184" customFormat="false" ht="18" hidden="false" customHeight="true" outlineLevel="0" collapsed="false">
      <c r="B184" s="44" t="s">
        <v>87</v>
      </c>
      <c r="C184" s="45" t="n">
        <v>0</v>
      </c>
      <c r="D184" s="45" t="n">
        <v>0</v>
      </c>
      <c r="E184" s="45" t="n">
        <v>0</v>
      </c>
      <c r="F184" s="45" t="n">
        <v>0</v>
      </c>
      <c r="G184" s="45" t="n">
        <v>0</v>
      </c>
      <c r="H184" s="45" t="n">
        <v>0</v>
      </c>
      <c r="I184" s="45" t="n">
        <v>0</v>
      </c>
      <c r="J184" s="45" t="n">
        <v>0</v>
      </c>
      <c r="K184" s="45" t="n">
        <v>0</v>
      </c>
      <c r="L184" s="45" t="n">
        <v>0</v>
      </c>
      <c r="M184" s="45" t="n">
        <v>0</v>
      </c>
      <c r="N184" s="45" t="n">
        <v>0</v>
      </c>
    </row>
    <row r="185" customFormat="false" ht="18" hidden="false" customHeight="true" outlineLevel="0" collapsed="false">
      <c r="B185" s="36" t="s">
        <v>88</v>
      </c>
      <c r="C185" s="37" t="n">
        <v>4</v>
      </c>
      <c r="D185" s="37" t="n">
        <v>0</v>
      </c>
      <c r="E185" s="37" t="n">
        <v>0</v>
      </c>
      <c r="F185" s="37" t="n">
        <v>0</v>
      </c>
      <c r="G185" s="37" t="n">
        <v>0</v>
      </c>
      <c r="H185" s="37" t="n">
        <v>0</v>
      </c>
      <c r="I185" s="37" t="n">
        <v>0</v>
      </c>
      <c r="J185" s="37" t="n">
        <v>0</v>
      </c>
      <c r="K185" s="37" t="n">
        <v>0</v>
      </c>
      <c r="L185" s="37" t="n">
        <v>0</v>
      </c>
      <c r="M185" s="37" t="n">
        <v>0</v>
      </c>
      <c r="N185" s="37" t="n">
        <v>0</v>
      </c>
    </row>
    <row r="188" customFormat="false" ht="27.75" hidden="false" customHeight="true" outlineLevel="0" collapsed="false">
      <c r="B188" s="46" t="s">
        <v>97</v>
      </c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</row>
    <row r="189" customFormat="false" ht="3.75" hidden="false" customHeight="true" outlineLevel="0" collapsed="false"/>
    <row r="190" customFormat="false" ht="25.5" hidden="false" customHeight="true" outlineLevel="0" collapsed="false">
      <c r="B190" s="47" t="s">
        <v>20</v>
      </c>
      <c r="C190" s="47" t="s">
        <v>68</v>
      </c>
      <c r="D190" s="47" t="s">
        <v>69</v>
      </c>
      <c r="E190" s="47" t="s">
        <v>70</v>
      </c>
      <c r="F190" s="47" t="s">
        <v>71</v>
      </c>
      <c r="G190" s="47" t="s">
        <v>72</v>
      </c>
      <c r="H190" s="47" t="s">
        <v>73</v>
      </c>
      <c r="I190" s="47" t="s">
        <v>74</v>
      </c>
      <c r="J190" s="47" t="s">
        <v>75</v>
      </c>
      <c r="K190" s="47" t="s">
        <v>76</v>
      </c>
      <c r="L190" s="47" t="s">
        <v>77</v>
      </c>
      <c r="M190" s="47" t="s">
        <v>78</v>
      </c>
      <c r="N190" s="47" t="s">
        <v>79</v>
      </c>
    </row>
    <row r="191" customFormat="false" ht="18" hidden="false" customHeight="true" outlineLevel="0" collapsed="false">
      <c r="B191" s="36" t="s">
        <v>80</v>
      </c>
      <c r="C191" s="37" t="n">
        <v>4</v>
      </c>
      <c r="D191" s="37" t="n">
        <v>0</v>
      </c>
      <c r="E191" s="37" t="n">
        <v>0</v>
      </c>
      <c r="F191" s="37" t="n">
        <v>0</v>
      </c>
      <c r="G191" s="37" t="n">
        <v>0</v>
      </c>
      <c r="H191" s="37" t="n">
        <v>0</v>
      </c>
      <c r="I191" s="37" t="n">
        <v>0</v>
      </c>
      <c r="J191" s="37" t="n">
        <v>0</v>
      </c>
      <c r="K191" s="37" t="n">
        <v>0</v>
      </c>
      <c r="L191" s="37" t="n">
        <v>0</v>
      </c>
      <c r="M191" s="37" t="n">
        <v>0</v>
      </c>
      <c r="N191" s="37" t="n">
        <v>0</v>
      </c>
    </row>
    <row r="192" customFormat="false" ht="18" hidden="false" customHeight="true" outlineLevel="0" collapsed="false">
      <c r="B192" s="38" t="s">
        <v>81</v>
      </c>
      <c r="C192" s="39" t="n">
        <v>0</v>
      </c>
      <c r="D192" s="39" t="n">
        <v>0</v>
      </c>
      <c r="E192" s="39" t="n">
        <v>0</v>
      </c>
      <c r="F192" s="39" t="n">
        <v>0</v>
      </c>
      <c r="G192" s="39" t="n">
        <v>0</v>
      </c>
      <c r="H192" s="39" t="n">
        <v>0</v>
      </c>
      <c r="I192" s="39" t="n">
        <v>0</v>
      </c>
      <c r="J192" s="39" t="n">
        <v>0</v>
      </c>
      <c r="K192" s="39" t="n">
        <v>0</v>
      </c>
      <c r="L192" s="39" t="n">
        <v>0</v>
      </c>
      <c r="M192" s="39" t="n">
        <v>0</v>
      </c>
      <c r="N192" s="39" t="n">
        <v>0</v>
      </c>
    </row>
    <row r="193" customFormat="false" ht="18" hidden="false" customHeight="true" outlineLevel="0" collapsed="false">
      <c r="B193" s="40" t="s">
        <v>82</v>
      </c>
      <c r="C193" s="41" t="n">
        <v>0</v>
      </c>
      <c r="D193" s="41" t="n">
        <v>0</v>
      </c>
      <c r="E193" s="41" t="n">
        <v>0</v>
      </c>
      <c r="F193" s="41" t="n">
        <v>0</v>
      </c>
      <c r="G193" s="41" t="n">
        <v>0</v>
      </c>
      <c r="H193" s="41" t="n">
        <v>0</v>
      </c>
      <c r="I193" s="41" t="n">
        <v>0</v>
      </c>
      <c r="J193" s="41" t="n">
        <v>0</v>
      </c>
      <c r="K193" s="41" t="n">
        <v>0</v>
      </c>
      <c r="L193" s="41" t="n">
        <v>0</v>
      </c>
      <c r="M193" s="41" t="n">
        <v>0</v>
      </c>
      <c r="N193" s="41" t="n">
        <v>0</v>
      </c>
    </row>
    <row r="194" customFormat="false" ht="18" hidden="false" customHeight="true" outlineLevel="0" collapsed="false">
      <c r="B194" s="38" t="s">
        <v>83</v>
      </c>
      <c r="C194" s="39" t="n">
        <v>0</v>
      </c>
      <c r="D194" s="39" t="n">
        <v>0</v>
      </c>
      <c r="E194" s="39" t="n">
        <v>0</v>
      </c>
      <c r="F194" s="39" t="n">
        <v>0</v>
      </c>
      <c r="G194" s="39" t="n">
        <v>0</v>
      </c>
      <c r="H194" s="39" t="n">
        <v>0</v>
      </c>
      <c r="I194" s="39" t="n">
        <v>0</v>
      </c>
      <c r="J194" s="39" t="n">
        <v>0</v>
      </c>
      <c r="K194" s="39" t="n">
        <v>0</v>
      </c>
      <c r="L194" s="39" t="n">
        <v>0</v>
      </c>
      <c r="M194" s="39" t="n">
        <v>0</v>
      </c>
      <c r="N194" s="39" t="n">
        <v>0</v>
      </c>
    </row>
    <row r="195" customFormat="false" ht="18" hidden="false" customHeight="true" outlineLevel="0" collapsed="false">
      <c r="B195" s="42" t="s">
        <v>84</v>
      </c>
      <c r="C195" s="43" t="n">
        <f aca="false">SUMPRODUCT((MONTH('⚫ Confirmed Attrition'!$G$5:$G$1000)=1)*(YEAR('⚫ Confirmed Attrition'!$G$5:$G$1000)=2026)*('⚫ Confirmed Attrition'!$D$5:$D$1000="Cathreen Aizha Ria Almazan"))</f>
        <v>0</v>
      </c>
      <c r="D195" s="43" t="n">
        <f aca="false">SUMPRODUCT((MONTH('⚫ Confirmed Attrition'!$G$5:$G$1000)=2)*(YEAR('⚫ Confirmed Attrition'!$G$5:$G$1000)=2026)*('⚫ Confirmed Attrition'!$D$5:$D$1000="Cathreen Aizha Ria Almazan"))</f>
        <v>0</v>
      </c>
      <c r="E195" s="43" t="n">
        <f aca="false">SUMPRODUCT((MONTH('⚫ Confirmed Attrition'!$G$5:$G$1000)=3)*(YEAR('⚫ Confirmed Attrition'!$G$5:$G$1000)=2026)*('⚫ Confirmed Attrition'!$D$5:$D$1000="Cathreen Aizha Ria Almazan"))</f>
        <v>0</v>
      </c>
      <c r="F195" s="43" t="n">
        <f aca="false">SUMPRODUCT((MONTH('⚫ Confirmed Attrition'!$G$5:$G$1000)=4)*(YEAR('⚫ Confirmed Attrition'!$G$5:$G$1000)=2026)*('⚫ Confirmed Attrition'!$D$5:$D$1000="Cathreen Aizha Ria Almazan"))</f>
        <v>0</v>
      </c>
      <c r="G195" s="43" t="n">
        <f aca="false">SUMPRODUCT((MONTH('⚫ Confirmed Attrition'!$G$5:$G$1000)=5)*(YEAR('⚫ Confirmed Attrition'!$G$5:$G$1000)=2026)*('⚫ Confirmed Attrition'!$D$5:$D$1000="Cathreen Aizha Ria Almazan"))</f>
        <v>0</v>
      </c>
      <c r="H195" s="43" t="n">
        <f aca="false">SUMPRODUCT((MONTH('⚫ Confirmed Attrition'!$G$5:$G$1000)=6)*(YEAR('⚫ Confirmed Attrition'!$G$5:$G$1000)=2026)*('⚫ Confirmed Attrition'!$D$5:$D$1000="Cathreen Aizha Ria Almazan"))</f>
        <v>0</v>
      </c>
      <c r="I195" s="43" t="n">
        <f aca="false">SUMPRODUCT((MONTH('⚫ Confirmed Attrition'!$G$5:$G$1000)=7)*(YEAR('⚫ Confirmed Attrition'!$G$5:$G$1000)=2026)*('⚫ Confirmed Attrition'!$D$5:$D$1000="Cathreen Aizha Ria Almazan"))</f>
        <v>0</v>
      </c>
      <c r="J195" s="43" t="n">
        <f aca="false">SUMPRODUCT((MONTH('⚫ Confirmed Attrition'!$G$5:$G$1000)=8)*(YEAR('⚫ Confirmed Attrition'!$G$5:$G$1000)=2026)*('⚫ Confirmed Attrition'!$D$5:$D$1000="Cathreen Aizha Ria Almazan"))</f>
        <v>0</v>
      </c>
      <c r="K195" s="43" t="n">
        <f aca="false">SUMPRODUCT((MONTH('⚫ Confirmed Attrition'!$G$5:$G$1000)=9)*(YEAR('⚫ Confirmed Attrition'!$G$5:$G$1000)=2026)*('⚫ Confirmed Attrition'!$D$5:$D$1000="Cathreen Aizha Ria Almazan"))</f>
        <v>0</v>
      </c>
      <c r="L195" s="43" t="n">
        <f aca="false">SUMPRODUCT((MONTH('⚫ Confirmed Attrition'!$G$5:$G$1000)=10)*(YEAR('⚫ Confirmed Attrition'!$G$5:$G$1000)=2026)*('⚫ Confirmed Attrition'!$D$5:$D$1000="Cathreen Aizha Ria Almazan"))</f>
        <v>0</v>
      </c>
      <c r="M195" s="43" t="n">
        <f aca="false">SUMPRODUCT((MONTH('⚫ Confirmed Attrition'!$G$5:$G$1000)=11)*(YEAR('⚫ Confirmed Attrition'!$G$5:$G$1000)=2026)*('⚫ Confirmed Attrition'!$D$5:$D$1000="Cathreen Aizha Ria Almazan"))</f>
        <v>0</v>
      </c>
      <c r="N195" s="43" t="n">
        <f aca="false">SUMPRODUCT((MONTH('⚫ Confirmed Attrition'!$G$5:$G$1000)=12)*(YEAR('⚫ Confirmed Attrition'!$G$5:$G$1000)=2026)*('⚫ Confirmed Attrition'!$D$5:$D$1000="Cathreen Aizha Ria Almazan"))</f>
        <v>0</v>
      </c>
    </row>
    <row r="196" customFormat="false" ht="18" hidden="false" customHeight="true" outlineLevel="0" collapsed="false">
      <c r="B196" s="44" t="s">
        <v>85</v>
      </c>
      <c r="C196" s="45" t="n">
        <v>0</v>
      </c>
      <c r="D196" s="45" t="n">
        <v>0</v>
      </c>
      <c r="E196" s="45" t="n">
        <v>0</v>
      </c>
      <c r="F196" s="45" t="n">
        <v>0</v>
      </c>
      <c r="G196" s="45" t="n">
        <v>0</v>
      </c>
      <c r="H196" s="45" t="n">
        <v>0</v>
      </c>
      <c r="I196" s="45" t="n">
        <v>0</v>
      </c>
      <c r="J196" s="45" t="n">
        <v>0</v>
      </c>
      <c r="K196" s="45" t="n">
        <v>0</v>
      </c>
      <c r="L196" s="45" t="n">
        <v>0</v>
      </c>
      <c r="M196" s="45" t="n">
        <v>0</v>
      </c>
      <c r="N196" s="45" t="n">
        <v>0</v>
      </c>
    </row>
    <row r="197" customFormat="false" ht="18" hidden="false" customHeight="true" outlineLevel="0" collapsed="false">
      <c r="B197" s="44" t="s">
        <v>86</v>
      </c>
      <c r="C197" s="45" t="n">
        <v>0</v>
      </c>
      <c r="D197" s="45" t="n">
        <v>0</v>
      </c>
      <c r="E197" s="45" t="n">
        <v>0</v>
      </c>
      <c r="F197" s="45" t="n">
        <v>0</v>
      </c>
      <c r="G197" s="45" t="n">
        <v>0</v>
      </c>
      <c r="H197" s="45" t="n">
        <v>0</v>
      </c>
      <c r="I197" s="45" t="n">
        <v>0</v>
      </c>
      <c r="J197" s="45" t="n">
        <v>0</v>
      </c>
      <c r="K197" s="45" t="n">
        <v>0</v>
      </c>
      <c r="L197" s="45" t="n">
        <v>0</v>
      </c>
      <c r="M197" s="45" t="n">
        <v>0</v>
      </c>
      <c r="N197" s="45" t="n">
        <v>0</v>
      </c>
    </row>
    <row r="198" customFormat="false" ht="18" hidden="false" customHeight="true" outlineLevel="0" collapsed="false">
      <c r="B198" s="44" t="s">
        <v>87</v>
      </c>
      <c r="C198" s="45" t="n">
        <v>0</v>
      </c>
      <c r="D198" s="45" t="n">
        <v>0</v>
      </c>
      <c r="E198" s="45" t="n">
        <v>0</v>
      </c>
      <c r="F198" s="45" t="n">
        <v>0</v>
      </c>
      <c r="G198" s="45" t="n">
        <v>0</v>
      </c>
      <c r="H198" s="45" t="n">
        <v>0</v>
      </c>
      <c r="I198" s="45" t="n">
        <v>0</v>
      </c>
      <c r="J198" s="45" t="n">
        <v>0</v>
      </c>
      <c r="K198" s="45" t="n">
        <v>0</v>
      </c>
      <c r="L198" s="45" t="n">
        <v>0</v>
      </c>
      <c r="M198" s="45" t="n">
        <v>0</v>
      </c>
      <c r="N198" s="45" t="n">
        <v>0</v>
      </c>
    </row>
    <row r="199" customFormat="false" ht="18" hidden="false" customHeight="true" outlineLevel="0" collapsed="false">
      <c r="B199" s="36" t="s">
        <v>88</v>
      </c>
      <c r="C199" s="37" t="n">
        <v>4</v>
      </c>
      <c r="D199" s="37" t="n">
        <v>0</v>
      </c>
      <c r="E199" s="37" t="n">
        <v>0</v>
      </c>
      <c r="F199" s="37" t="n">
        <v>0</v>
      </c>
      <c r="G199" s="37" t="n">
        <v>0</v>
      </c>
      <c r="H199" s="37" t="n">
        <v>0</v>
      </c>
      <c r="I199" s="37" t="n">
        <v>0</v>
      </c>
      <c r="J199" s="37" t="n">
        <v>0</v>
      </c>
      <c r="K199" s="37" t="n">
        <v>0</v>
      </c>
      <c r="L199" s="37" t="n">
        <v>0</v>
      </c>
      <c r="M199" s="37" t="n">
        <v>0</v>
      </c>
      <c r="N199" s="37" t="n">
        <v>0</v>
      </c>
    </row>
    <row r="202" customFormat="false" ht="27.75" hidden="false" customHeight="true" outlineLevel="0" collapsed="false">
      <c r="B202" s="46" t="s">
        <v>98</v>
      </c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</row>
    <row r="203" customFormat="false" ht="3.75" hidden="false" customHeight="true" outlineLevel="0" collapsed="false"/>
    <row r="204" customFormat="false" ht="25.5" hidden="false" customHeight="true" outlineLevel="0" collapsed="false">
      <c r="B204" s="47" t="s">
        <v>21</v>
      </c>
      <c r="C204" s="47" t="s">
        <v>68</v>
      </c>
      <c r="D204" s="47" t="s">
        <v>69</v>
      </c>
      <c r="E204" s="47" t="s">
        <v>70</v>
      </c>
      <c r="F204" s="47" t="s">
        <v>71</v>
      </c>
      <c r="G204" s="47" t="s">
        <v>72</v>
      </c>
      <c r="H204" s="47" t="s">
        <v>73</v>
      </c>
      <c r="I204" s="47" t="s">
        <v>74</v>
      </c>
      <c r="J204" s="47" t="s">
        <v>75</v>
      </c>
      <c r="K204" s="47" t="s">
        <v>76</v>
      </c>
      <c r="L204" s="47" t="s">
        <v>77</v>
      </c>
      <c r="M204" s="47" t="s">
        <v>78</v>
      </c>
      <c r="N204" s="47" t="s">
        <v>79</v>
      </c>
    </row>
    <row r="205" customFormat="false" ht="18" hidden="false" customHeight="true" outlineLevel="0" collapsed="false">
      <c r="B205" s="36" t="s">
        <v>80</v>
      </c>
      <c r="C205" s="37" t="n">
        <v>14</v>
      </c>
      <c r="D205" s="37" t="n">
        <v>0</v>
      </c>
      <c r="E205" s="37" t="n">
        <v>0</v>
      </c>
      <c r="F205" s="37" t="n">
        <v>0</v>
      </c>
      <c r="G205" s="37" t="n">
        <v>0</v>
      </c>
      <c r="H205" s="37" t="n">
        <v>0</v>
      </c>
      <c r="I205" s="37" t="n">
        <v>0</v>
      </c>
      <c r="J205" s="37" t="n">
        <v>0</v>
      </c>
      <c r="K205" s="37" t="n">
        <v>0</v>
      </c>
      <c r="L205" s="37" t="n">
        <v>0</v>
      </c>
      <c r="M205" s="37" t="n">
        <v>0</v>
      </c>
      <c r="N205" s="37" t="n">
        <v>0</v>
      </c>
    </row>
    <row r="206" customFormat="false" ht="18" hidden="false" customHeight="true" outlineLevel="0" collapsed="false">
      <c r="B206" s="38" t="s">
        <v>81</v>
      </c>
      <c r="C206" s="39" t="n">
        <v>0</v>
      </c>
      <c r="D206" s="39" t="n">
        <v>0</v>
      </c>
      <c r="E206" s="39" t="n">
        <v>0</v>
      </c>
      <c r="F206" s="39" t="n">
        <v>0</v>
      </c>
      <c r="G206" s="39" t="n">
        <v>0</v>
      </c>
      <c r="H206" s="39" t="n">
        <v>0</v>
      </c>
      <c r="I206" s="39" t="n">
        <v>0</v>
      </c>
      <c r="J206" s="39" t="n">
        <v>0</v>
      </c>
      <c r="K206" s="39" t="n">
        <v>0</v>
      </c>
      <c r="L206" s="39" t="n">
        <v>0</v>
      </c>
      <c r="M206" s="39" t="n">
        <v>0</v>
      </c>
      <c r="N206" s="39" t="n">
        <v>0</v>
      </c>
    </row>
    <row r="207" customFormat="false" ht="18" hidden="false" customHeight="true" outlineLevel="0" collapsed="false">
      <c r="B207" s="40" t="s">
        <v>82</v>
      </c>
      <c r="C207" s="41" t="n">
        <v>0</v>
      </c>
      <c r="D207" s="41" t="n">
        <v>0</v>
      </c>
      <c r="E207" s="41" t="n">
        <v>0</v>
      </c>
      <c r="F207" s="41" t="n">
        <v>0</v>
      </c>
      <c r="G207" s="41" t="n">
        <v>0</v>
      </c>
      <c r="H207" s="41" t="n">
        <v>0</v>
      </c>
      <c r="I207" s="41" t="n">
        <v>0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n">
        <v>0</v>
      </c>
    </row>
    <row r="208" customFormat="false" ht="18" hidden="false" customHeight="true" outlineLevel="0" collapsed="false">
      <c r="B208" s="38" t="s">
        <v>83</v>
      </c>
      <c r="C208" s="39" t="n">
        <v>0</v>
      </c>
      <c r="D208" s="39" t="n">
        <v>0</v>
      </c>
      <c r="E208" s="39" t="n">
        <v>0</v>
      </c>
      <c r="F208" s="39" t="n">
        <v>0</v>
      </c>
      <c r="G208" s="39" t="n">
        <v>0</v>
      </c>
      <c r="H208" s="39" t="n">
        <v>0</v>
      </c>
      <c r="I208" s="39" t="n">
        <v>0</v>
      </c>
      <c r="J208" s="39" t="n">
        <v>0</v>
      </c>
      <c r="K208" s="39" t="n">
        <v>0</v>
      </c>
      <c r="L208" s="39" t="n">
        <v>0</v>
      </c>
      <c r="M208" s="39" t="n">
        <v>0</v>
      </c>
      <c r="N208" s="39" t="n">
        <v>0</v>
      </c>
    </row>
    <row r="209" customFormat="false" ht="18" hidden="false" customHeight="true" outlineLevel="0" collapsed="false">
      <c r="B209" s="42" t="s">
        <v>84</v>
      </c>
      <c r="C209" s="43" t="n">
        <f aca="false">SUMPRODUCT((MONTH('⚫ Confirmed Attrition'!$G$5:$G$1000)=1)*(YEAR('⚫ Confirmed Attrition'!$G$5:$G$1000)=2026)*('⚫ Confirmed Attrition'!$D$5:$D$1000="Charlie Jr De Asis Cuartero"))</f>
        <v>0</v>
      </c>
      <c r="D209" s="43" t="n">
        <f aca="false">SUMPRODUCT((MONTH('⚫ Confirmed Attrition'!$G$5:$G$1000)=2)*(YEAR('⚫ Confirmed Attrition'!$G$5:$G$1000)=2026)*('⚫ Confirmed Attrition'!$D$5:$D$1000="Charlie Jr De Asis Cuartero"))</f>
        <v>0</v>
      </c>
      <c r="E209" s="43" t="n">
        <f aca="false">SUMPRODUCT((MONTH('⚫ Confirmed Attrition'!$G$5:$G$1000)=3)*(YEAR('⚫ Confirmed Attrition'!$G$5:$G$1000)=2026)*('⚫ Confirmed Attrition'!$D$5:$D$1000="Charlie Jr De Asis Cuartero"))</f>
        <v>0</v>
      </c>
      <c r="F209" s="43" t="n">
        <f aca="false">SUMPRODUCT((MONTH('⚫ Confirmed Attrition'!$G$5:$G$1000)=4)*(YEAR('⚫ Confirmed Attrition'!$G$5:$G$1000)=2026)*('⚫ Confirmed Attrition'!$D$5:$D$1000="Charlie Jr De Asis Cuartero"))</f>
        <v>0</v>
      </c>
      <c r="G209" s="43" t="n">
        <f aca="false">SUMPRODUCT((MONTH('⚫ Confirmed Attrition'!$G$5:$G$1000)=5)*(YEAR('⚫ Confirmed Attrition'!$G$5:$G$1000)=2026)*('⚫ Confirmed Attrition'!$D$5:$D$1000="Charlie Jr De Asis Cuartero"))</f>
        <v>0</v>
      </c>
      <c r="H209" s="43" t="n">
        <f aca="false">SUMPRODUCT((MONTH('⚫ Confirmed Attrition'!$G$5:$G$1000)=6)*(YEAR('⚫ Confirmed Attrition'!$G$5:$G$1000)=2026)*('⚫ Confirmed Attrition'!$D$5:$D$1000="Charlie Jr De Asis Cuartero"))</f>
        <v>0</v>
      </c>
      <c r="I209" s="43" t="n">
        <f aca="false">SUMPRODUCT((MONTH('⚫ Confirmed Attrition'!$G$5:$G$1000)=7)*(YEAR('⚫ Confirmed Attrition'!$G$5:$G$1000)=2026)*('⚫ Confirmed Attrition'!$D$5:$D$1000="Charlie Jr De Asis Cuartero"))</f>
        <v>0</v>
      </c>
      <c r="J209" s="43" t="n">
        <f aca="false">SUMPRODUCT((MONTH('⚫ Confirmed Attrition'!$G$5:$G$1000)=8)*(YEAR('⚫ Confirmed Attrition'!$G$5:$G$1000)=2026)*('⚫ Confirmed Attrition'!$D$5:$D$1000="Charlie Jr De Asis Cuartero"))</f>
        <v>0</v>
      </c>
      <c r="K209" s="43" t="n">
        <f aca="false">SUMPRODUCT((MONTH('⚫ Confirmed Attrition'!$G$5:$G$1000)=9)*(YEAR('⚫ Confirmed Attrition'!$G$5:$G$1000)=2026)*('⚫ Confirmed Attrition'!$D$5:$D$1000="Charlie Jr De Asis Cuartero"))</f>
        <v>0</v>
      </c>
      <c r="L209" s="43" t="n">
        <f aca="false">SUMPRODUCT((MONTH('⚫ Confirmed Attrition'!$G$5:$G$1000)=10)*(YEAR('⚫ Confirmed Attrition'!$G$5:$G$1000)=2026)*('⚫ Confirmed Attrition'!$D$5:$D$1000="Charlie Jr De Asis Cuartero"))</f>
        <v>0</v>
      </c>
      <c r="M209" s="43" t="n">
        <f aca="false">SUMPRODUCT((MONTH('⚫ Confirmed Attrition'!$G$5:$G$1000)=11)*(YEAR('⚫ Confirmed Attrition'!$G$5:$G$1000)=2026)*('⚫ Confirmed Attrition'!$D$5:$D$1000="Charlie Jr De Asis Cuartero"))</f>
        <v>0</v>
      </c>
      <c r="N209" s="43" t="n">
        <f aca="false">SUMPRODUCT((MONTH('⚫ Confirmed Attrition'!$G$5:$G$1000)=12)*(YEAR('⚫ Confirmed Attrition'!$G$5:$G$1000)=2026)*('⚫ Confirmed Attrition'!$D$5:$D$1000="Charlie Jr De Asis Cuartero"))</f>
        <v>0</v>
      </c>
    </row>
    <row r="210" customFormat="false" ht="18" hidden="false" customHeight="true" outlineLevel="0" collapsed="false">
      <c r="B210" s="44" t="s">
        <v>85</v>
      </c>
      <c r="C210" s="45" t="n">
        <v>0</v>
      </c>
      <c r="D210" s="45" t="n">
        <v>0</v>
      </c>
      <c r="E210" s="45" t="n">
        <v>0</v>
      </c>
      <c r="F210" s="45" t="n">
        <v>0</v>
      </c>
      <c r="G210" s="45" t="n">
        <v>0</v>
      </c>
      <c r="H210" s="45" t="n">
        <v>0</v>
      </c>
      <c r="I210" s="45" t="n">
        <v>0</v>
      </c>
      <c r="J210" s="45" t="n">
        <v>0</v>
      </c>
      <c r="K210" s="45" t="n">
        <v>0</v>
      </c>
      <c r="L210" s="45" t="n">
        <v>0</v>
      </c>
      <c r="M210" s="45" t="n">
        <v>0</v>
      </c>
      <c r="N210" s="45" t="n">
        <v>0</v>
      </c>
    </row>
    <row r="211" customFormat="false" ht="18" hidden="false" customHeight="true" outlineLevel="0" collapsed="false">
      <c r="B211" s="44" t="s">
        <v>86</v>
      </c>
      <c r="C211" s="45" t="n">
        <v>0</v>
      </c>
      <c r="D211" s="45" t="n">
        <v>0</v>
      </c>
      <c r="E211" s="45" t="n">
        <v>0</v>
      </c>
      <c r="F211" s="45" t="n">
        <v>0</v>
      </c>
      <c r="G211" s="45" t="n">
        <v>0</v>
      </c>
      <c r="H211" s="45" t="n">
        <v>0</v>
      </c>
      <c r="I211" s="45" t="n">
        <v>0</v>
      </c>
      <c r="J211" s="45" t="n">
        <v>0</v>
      </c>
      <c r="K211" s="45" t="n">
        <v>0</v>
      </c>
      <c r="L211" s="45" t="n">
        <v>0</v>
      </c>
      <c r="M211" s="45" t="n">
        <v>0</v>
      </c>
      <c r="N211" s="45" t="n">
        <v>0</v>
      </c>
    </row>
    <row r="212" customFormat="false" ht="18" hidden="false" customHeight="true" outlineLevel="0" collapsed="false">
      <c r="B212" s="44" t="s">
        <v>87</v>
      </c>
      <c r="C212" s="45" t="n">
        <v>0</v>
      </c>
      <c r="D212" s="45" t="n">
        <v>0</v>
      </c>
      <c r="E212" s="45" t="n">
        <v>0</v>
      </c>
      <c r="F212" s="45" t="n">
        <v>0</v>
      </c>
      <c r="G212" s="45" t="n">
        <v>0</v>
      </c>
      <c r="H212" s="45" t="n">
        <v>0</v>
      </c>
      <c r="I212" s="45" t="n">
        <v>0</v>
      </c>
      <c r="J212" s="45" t="n">
        <v>0</v>
      </c>
      <c r="K212" s="45" t="n">
        <v>0</v>
      </c>
      <c r="L212" s="45" t="n">
        <v>0</v>
      </c>
      <c r="M212" s="45" t="n">
        <v>0</v>
      </c>
      <c r="N212" s="45" t="n">
        <v>0</v>
      </c>
    </row>
    <row r="213" customFormat="false" ht="18" hidden="false" customHeight="true" outlineLevel="0" collapsed="false">
      <c r="B213" s="36" t="s">
        <v>88</v>
      </c>
      <c r="C213" s="37" t="n">
        <v>14</v>
      </c>
      <c r="D213" s="37" t="n">
        <v>0</v>
      </c>
      <c r="E213" s="37" t="n">
        <v>0</v>
      </c>
      <c r="F213" s="37" t="n">
        <v>0</v>
      </c>
      <c r="G213" s="37" t="n">
        <v>0</v>
      </c>
      <c r="H213" s="37" t="n">
        <v>0</v>
      </c>
      <c r="I213" s="37" t="n">
        <v>0</v>
      </c>
      <c r="J213" s="37" t="n">
        <v>0</v>
      </c>
      <c r="K213" s="37" t="n">
        <v>0</v>
      </c>
      <c r="L213" s="37" t="n">
        <v>0</v>
      </c>
      <c r="M213" s="37" t="n">
        <v>0</v>
      </c>
      <c r="N213" s="37" t="n">
        <v>0</v>
      </c>
    </row>
    <row r="216" customFormat="false" ht="27.75" hidden="false" customHeight="true" outlineLevel="0" collapsed="false">
      <c r="B216" s="46" t="s">
        <v>99</v>
      </c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</row>
    <row r="217" customFormat="false" ht="3.75" hidden="false" customHeight="true" outlineLevel="0" collapsed="false"/>
    <row r="218" customFormat="false" ht="25.5" hidden="false" customHeight="true" outlineLevel="0" collapsed="false">
      <c r="B218" s="47" t="s">
        <v>22</v>
      </c>
      <c r="C218" s="47" t="s">
        <v>68</v>
      </c>
      <c r="D218" s="47" t="s">
        <v>69</v>
      </c>
      <c r="E218" s="47" t="s">
        <v>70</v>
      </c>
      <c r="F218" s="47" t="s">
        <v>71</v>
      </c>
      <c r="G218" s="47" t="s">
        <v>72</v>
      </c>
      <c r="H218" s="47" t="s">
        <v>73</v>
      </c>
      <c r="I218" s="47" t="s">
        <v>74</v>
      </c>
      <c r="J218" s="47" t="s">
        <v>75</v>
      </c>
      <c r="K218" s="47" t="s">
        <v>76</v>
      </c>
      <c r="L218" s="47" t="s">
        <v>77</v>
      </c>
      <c r="M218" s="47" t="s">
        <v>78</v>
      </c>
      <c r="N218" s="47" t="s">
        <v>79</v>
      </c>
    </row>
    <row r="219" customFormat="false" ht="18" hidden="false" customHeight="true" outlineLevel="0" collapsed="false">
      <c r="B219" s="36" t="s">
        <v>80</v>
      </c>
      <c r="C219" s="37" t="n">
        <v>13</v>
      </c>
      <c r="D219" s="37" t="n">
        <v>0</v>
      </c>
      <c r="E219" s="37" t="n">
        <v>0</v>
      </c>
      <c r="F219" s="37" t="n">
        <v>0</v>
      </c>
      <c r="G219" s="37" t="n">
        <v>0</v>
      </c>
      <c r="H219" s="37" t="n">
        <v>0</v>
      </c>
      <c r="I219" s="37" t="n">
        <v>0</v>
      </c>
      <c r="J219" s="37" t="n">
        <v>0</v>
      </c>
      <c r="K219" s="37" t="n">
        <v>0</v>
      </c>
      <c r="L219" s="37" t="n">
        <v>0</v>
      </c>
      <c r="M219" s="37" t="n">
        <v>0</v>
      </c>
      <c r="N219" s="37" t="n">
        <v>0</v>
      </c>
    </row>
    <row r="220" customFormat="false" ht="18" hidden="false" customHeight="true" outlineLevel="0" collapsed="false">
      <c r="B220" s="38" t="s">
        <v>81</v>
      </c>
      <c r="C220" s="39" t="n">
        <v>0</v>
      </c>
      <c r="D220" s="39" t="n">
        <v>0</v>
      </c>
      <c r="E220" s="39" t="n">
        <v>0</v>
      </c>
      <c r="F220" s="39" t="n">
        <v>0</v>
      </c>
      <c r="G220" s="39" t="n">
        <v>0</v>
      </c>
      <c r="H220" s="39" t="n">
        <v>0</v>
      </c>
      <c r="I220" s="39" t="n">
        <v>0</v>
      </c>
      <c r="J220" s="39" t="n">
        <v>0</v>
      </c>
      <c r="K220" s="39" t="n">
        <v>0</v>
      </c>
      <c r="L220" s="39" t="n">
        <v>0</v>
      </c>
      <c r="M220" s="39" t="n">
        <v>0</v>
      </c>
      <c r="N220" s="39" t="n">
        <v>0</v>
      </c>
    </row>
    <row r="221" customFormat="false" ht="18" hidden="false" customHeight="true" outlineLevel="0" collapsed="false">
      <c r="B221" s="40" t="s">
        <v>82</v>
      </c>
      <c r="C221" s="41" t="n">
        <v>0</v>
      </c>
      <c r="D221" s="41" t="n">
        <v>0</v>
      </c>
      <c r="E221" s="41" t="n">
        <v>0</v>
      </c>
      <c r="F221" s="41" t="n">
        <v>0</v>
      </c>
      <c r="G221" s="41" t="n">
        <v>0</v>
      </c>
      <c r="H221" s="41" t="n">
        <v>0</v>
      </c>
      <c r="I221" s="41" t="n">
        <v>0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n">
        <v>0</v>
      </c>
    </row>
    <row r="222" customFormat="false" ht="18" hidden="false" customHeight="true" outlineLevel="0" collapsed="false">
      <c r="B222" s="38" t="s">
        <v>83</v>
      </c>
      <c r="C222" s="39" t="n">
        <v>0</v>
      </c>
      <c r="D222" s="39" t="n">
        <v>0</v>
      </c>
      <c r="E222" s="39" t="n">
        <v>0</v>
      </c>
      <c r="F222" s="39" t="n">
        <v>0</v>
      </c>
      <c r="G222" s="39" t="n">
        <v>0</v>
      </c>
      <c r="H222" s="39" t="n">
        <v>0</v>
      </c>
      <c r="I222" s="39" t="n">
        <v>0</v>
      </c>
      <c r="J222" s="39" t="n">
        <v>0</v>
      </c>
      <c r="K222" s="39" t="n">
        <v>0</v>
      </c>
      <c r="L222" s="39" t="n">
        <v>0</v>
      </c>
      <c r="M222" s="39" t="n">
        <v>0</v>
      </c>
      <c r="N222" s="39" t="n">
        <v>0</v>
      </c>
    </row>
    <row r="223" customFormat="false" ht="18" hidden="false" customHeight="true" outlineLevel="0" collapsed="false">
      <c r="B223" s="42" t="s">
        <v>84</v>
      </c>
      <c r="C223" s="43" t="n">
        <f aca="false">SUMPRODUCT((MONTH('⚫ Confirmed Attrition'!$G$5:$G$1000)=1)*(YEAR('⚫ Confirmed Attrition'!$G$5:$G$1000)=2026)*('⚫ Confirmed Attrition'!$D$5:$D$1000="Charmaine Garde Calupig"))</f>
        <v>0</v>
      </c>
      <c r="D223" s="43" t="n">
        <f aca="false">SUMPRODUCT((MONTH('⚫ Confirmed Attrition'!$G$5:$G$1000)=2)*(YEAR('⚫ Confirmed Attrition'!$G$5:$G$1000)=2026)*('⚫ Confirmed Attrition'!$D$5:$D$1000="Charmaine Garde Calupig"))</f>
        <v>0</v>
      </c>
      <c r="E223" s="43" t="n">
        <f aca="false">SUMPRODUCT((MONTH('⚫ Confirmed Attrition'!$G$5:$G$1000)=3)*(YEAR('⚫ Confirmed Attrition'!$G$5:$G$1000)=2026)*('⚫ Confirmed Attrition'!$D$5:$D$1000="Charmaine Garde Calupig"))</f>
        <v>0</v>
      </c>
      <c r="F223" s="43" t="n">
        <f aca="false">SUMPRODUCT((MONTH('⚫ Confirmed Attrition'!$G$5:$G$1000)=4)*(YEAR('⚫ Confirmed Attrition'!$G$5:$G$1000)=2026)*('⚫ Confirmed Attrition'!$D$5:$D$1000="Charmaine Garde Calupig"))</f>
        <v>0</v>
      </c>
      <c r="G223" s="43" t="n">
        <f aca="false">SUMPRODUCT((MONTH('⚫ Confirmed Attrition'!$G$5:$G$1000)=5)*(YEAR('⚫ Confirmed Attrition'!$G$5:$G$1000)=2026)*('⚫ Confirmed Attrition'!$D$5:$D$1000="Charmaine Garde Calupig"))</f>
        <v>0</v>
      </c>
      <c r="H223" s="43" t="n">
        <f aca="false">SUMPRODUCT((MONTH('⚫ Confirmed Attrition'!$G$5:$G$1000)=6)*(YEAR('⚫ Confirmed Attrition'!$G$5:$G$1000)=2026)*('⚫ Confirmed Attrition'!$D$5:$D$1000="Charmaine Garde Calupig"))</f>
        <v>0</v>
      </c>
      <c r="I223" s="43" t="n">
        <f aca="false">SUMPRODUCT((MONTH('⚫ Confirmed Attrition'!$G$5:$G$1000)=7)*(YEAR('⚫ Confirmed Attrition'!$G$5:$G$1000)=2026)*('⚫ Confirmed Attrition'!$D$5:$D$1000="Charmaine Garde Calupig"))</f>
        <v>0</v>
      </c>
      <c r="J223" s="43" t="n">
        <f aca="false">SUMPRODUCT((MONTH('⚫ Confirmed Attrition'!$G$5:$G$1000)=8)*(YEAR('⚫ Confirmed Attrition'!$G$5:$G$1000)=2026)*('⚫ Confirmed Attrition'!$D$5:$D$1000="Charmaine Garde Calupig"))</f>
        <v>0</v>
      </c>
      <c r="K223" s="43" t="n">
        <f aca="false">SUMPRODUCT((MONTH('⚫ Confirmed Attrition'!$G$5:$G$1000)=9)*(YEAR('⚫ Confirmed Attrition'!$G$5:$G$1000)=2026)*('⚫ Confirmed Attrition'!$D$5:$D$1000="Charmaine Garde Calupig"))</f>
        <v>0</v>
      </c>
      <c r="L223" s="43" t="n">
        <f aca="false">SUMPRODUCT((MONTH('⚫ Confirmed Attrition'!$G$5:$G$1000)=10)*(YEAR('⚫ Confirmed Attrition'!$G$5:$G$1000)=2026)*('⚫ Confirmed Attrition'!$D$5:$D$1000="Charmaine Garde Calupig"))</f>
        <v>0</v>
      </c>
      <c r="M223" s="43" t="n">
        <f aca="false">SUMPRODUCT((MONTH('⚫ Confirmed Attrition'!$G$5:$G$1000)=11)*(YEAR('⚫ Confirmed Attrition'!$G$5:$G$1000)=2026)*('⚫ Confirmed Attrition'!$D$5:$D$1000="Charmaine Garde Calupig"))</f>
        <v>0</v>
      </c>
      <c r="N223" s="43" t="n">
        <f aca="false">SUMPRODUCT((MONTH('⚫ Confirmed Attrition'!$G$5:$G$1000)=12)*(YEAR('⚫ Confirmed Attrition'!$G$5:$G$1000)=2026)*('⚫ Confirmed Attrition'!$D$5:$D$1000="Charmaine Garde Calupig"))</f>
        <v>0</v>
      </c>
    </row>
    <row r="224" customFormat="false" ht="18" hidden="false" customHeight="true" outlineLevel="0" collapsed="false">
      <c r="B224" s="44" t="s">
        <v>85</v>
      </c>
      <c r="C224" s="45" t="n">
        <v>0</v>
      </c>
      <c r="D224" s="45" t="n">
        <v>0</v>
      </c>
      <c r="E224" s="45" t="n">
        <v>0</v>
      </c>
      <c r="F224" s="45" t="n">
        <v>0</v>
      </c>
      <c r="G224" s="45" t="n">
        <v>0</v>
      </c>
      <c r="H224" s="45" t="n">
        <v>0</v>
      </c>
      <c r="I224" s="45" t="n">
        <v>0</v>
      </c>
      <c r="J224" s="45" t="n">
        <v>0</v>
      </c>
      <c r="K224" s="45" t="n">
        <v>0</v>
      </c>
      <c r="L224" s="45" t="n">
        <v>0</v>
      </c>
      <c r="M224" s="45" t="n">
        <v>0</v>
      </c>
      <c r="N224" s="45" t="n">
        <v>0</v>
      </c>
    </row>
    <row r="225" customFormat="false" ht="18" hidden="false" customHeight="true" outlineLevel="0" collapsed="false">
      <c r="B225" s="44" t="s">
        <v>86</v>
      </c>
      <c r="C225" s="45" t="n">
        <v>0</v>
      </c>
      <c r="D225" s="45" t="n">
        <v>0</v>
      </c>
      <c r="E225" s="45" t="n">
        <v>0</v>
      </c>
      <c r="F225" s="45" t="n">
        <v>0</v>
      </c>
      <c r="G225" s="45" t="n">
        <v>0</v>
      </c>
      <c r="H225" s="45" t="n">
        <v>0</v>
      </c>
      <c r="I225" s="45" t="n">
        <v>0</v>
      </c>
      <c r="J225" s="45" t="n">
        <v>0</v>
      </c>
      <c r="K225" s="45" t="n">
        <v>0</v>
      </c>
      <c r="L225" s="45" t="n">
        <v>0</v>
      </c>
      <c r="M225" s="45" t="n">
        <v>0</v>
      </c>
      <c r="N225" s="45" t="n">
        <v>0</v>
      </c>
    </row>
    <row r="226" customFormat="false" ht="18" hidden="false" customHeight="true" outlineLevel="0" collapsed="false">
      <c r="B226" s="44" t="s">
        <v>87</v>
      </c>
      <c r="C226" s="45" t="n">
        <v>0</v>
      </c>
      <c r="D226" s="45" t="n">
        <v>0</v>
      </c>
      <c r="E226" s="45" t="n">
        <v>0</v>
      </c>
      <c r="F226" s="45" t="n">
        <v>0</v>
      </c>
      <c r="G226" s="45" t="n">
        <v>0</v>
      </c>
      <c r="H226" s="45" t="n">
        <v>0</v>
      </c>
      <c r="I226" s="45" t="n">
        <v>0</v>
      </c>
      <c r="J226" s="45" t="n">
        <v>0</v>
      </c>
      <c r="K226" s="45" t="n">
        <v>0</v>
      </c>
      <c r="L226" s="45" t="n">
        <v>0</v>
      </c>
      <c r="M226" s="45" t="n">
        <v>0</v>
      </c>
      <c r="N226" s="45" t="n">
        <v>0</v>
      </c>
    </row>
    <row r="227" customFormat="false" ht="18" hidden="false" customHeight="true" outlineLevel="0" collapsed="false">
      <c r="B227" s="36" t="s">
        <v>88</v>
      </c>
      <c r="C227" s="37" t="n">
        <v>13</v>
      </c>
      <c r="D227" s="37" t="n">
        <v>0</v>
      </c>
      <c r="E227" s="37" t="n">
        <v>0</v>
      </c>
      <c r="F227" s="37" t="n">
        <v>0</v>
      </c>
      <c r="G227" s="37" t="n">
        <v>0</v>
      </c>
      <c r="H227" s="37" t="n">
        <v>0</v>
      </c>
      <c r="I227" s="37" t="n">
        <v>0</v>
      </c>
      <c r="J227" s="37" t="n">
        <v>0</v>
      </c>
      <c r="K227" s="37" t="n">
        <v>0</v>
      </c>
      <c r="L227" s="37" t="n">
        <v>0</v>
      </c>
      <c r="M227" s="37" t="n">
        <v>0</v>
      </c>
      <c r="N227" s="37" t="n">
        <v>0</v>
      </c>
    </row>
    <row r="230" customFormat="false" ht="27.75" hidden="false" customHeight="true" outlineLevel="0" collapsed="false">
      <c r="B230" s="46" t="s">
        <v>100</v>
      </c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</row>
    <row r="231" customFormat="false" ht="3.75" hidden="false" customHeight="true" outlineLevel="0" collapsed="false"/>
    <row r="232" customFormat="false" ht="25.5" hidden="false" customHeight="true" outlineLevel="0" collapsed="false">
      <c r="B232" s="47" t="s">
        <v>23</v>
      </c>
      <c r="C232" s="47" t="s">
        <v>68</v>
      </c>
      <c r="D232" s="47" t="s">
        <v>69</v>
      </c>
      <c r="E232" s="47" t="s">
        <v>70</v>
      </c>
      <c r="F232" s="47" t="s">
        <v>71</v>
      </c>
      <c r="G232" s="47" t="s">
        <v>72</v>
      </c>
      <c r="H232" s="47" t="s">
        <v>73</v>
      </c>
      <c r="I232" s="47" t="s">
        <v>74</v>
      </c>
      <c r="J232" s="47" t="s">
        <v>75</v>
      </c>
      <c r="K232" s="47" t="s">
        <v>76</v>
      </c>
      <c r="L232" s="47" t="s">
        <v>77</v>
      </c>
      <c r="M232" s="47" t="s">
        <v>78</v>
      </c>
      <c r="N232" s="47" t="s">
        <v>79</v>
      </c>
    </row>
    <row r="233" customFormat="false" ht="18" hidden="false" customHeight="true" outlineLevel="0" collapsed="false">
      <c r="B233" s="36" t="s">
        <v>80</v>
      </c>
      <c r="C233" s="37" t="n">
        <v>10</v>
      </c>
      <c r="D233" s="37" t="n">
        <v>0</v>
      </c>
      <c r="E233" s="37" t="n">
        <v>0</v>
      </c>
      <c r="F233" s="37" t="n">
        <v>0</v>
      </c>
      <c r="G233" s="37" t="n">
        <v>0</v>
      </c>
      <c r="H233" s="37" t="n">
        <v>0</v>
      </c>
      <c r="I233" s="37" t="n">
        <v>0</v>
      </c>
      <c r="J233" s="37" t="n">
        <v>0</v>
      </c>
      <c r="K233" s="37" t="n">
        <v>0</v>
      </c>
      <c r="L233" s="37" t="n">
        <v>0</v>
      </c>
      <c r="M233" s="37" t="n">
        <v>0</v>
      </c>
      <c r="N233" s="37" t="n">
        <v>0</v>
      </c>
    </row>
    <row r="234" customFormat="false" ht="18" hidden="false" customHeight="true" outlineLevel="0" collapsed="false">
      <c r="B234" s="38" t="s">
        <v>81</v>
      </c>
      <c r="C234" s="39" t="n">
        <v>0</v>
      </c>
      <c r="D234" s="39" t="n">
        <v>0</v>
      </c>
      <c r="E234" s="39" t="n">
        <v>0</v>
      </c>
      <c r="F234" s="39" t="n">
        <v>0</v>
      </c>
      <c r="G234" s="39" t="n">
        <v>0</v>
      </c>
      <c r="H234" s="39" t="n">
        <v>0</v>
      </c>
      <c r="I234" s="39" t="n">
        <v>0</v>
      </c>
      <c r="J234" s="39" t="n">
        <v>0</v>
      </c>
      <c r="K234" s="39" t="n">
        <v>0</v>
      </c>
      <c r="L234" s="39" t="n">
        <v>0</v>
      </c>
      <c r="M234" s="39" t="n">
        <v>0</v>
      </c>
      <c r="N234" s="39" t="n">
        <v>0</v>
      </c>
    </row>
    <row r="235" customFormat="false" ht="18" hidden="false" customHeight="true" outlineLevel="0" collapsed="false">
      <c r="B235" s="40" t="s">
        <v>82</v>
      </c>
      <c r="C235" s="41" t="n">
        <v>0</v>
      </c>
      <c r="D235" s="41" t="n">
        <v>0</v>
      </c>
      <c r="E235" s="41" t="n">
        <v>0</v>
      </c>
      <c r="F235" s="41" t="n">
        <v>0</v>
      </c>
      <c r="G235" s="41" t="n">
        <v>0</v>
      </c>
      <c r="H235" s="41" t="n">
        <v>0</v>
      </c>
      <c r="I235" s="41" t="n">
        <v>0</v>
      </c>
      <c r="J235" s="41" t="n">
        <v>0</v>
      </c>
      <c r="K235" s="41" t="n">
        <v>0</v>
      </c>
      <c r="L235" s="41" t="n">
        <v>0</v>
      </c>
      <c r="M235" s="41" t="n">
        <v>0</v>
      </c>
      <c r="N235" s="41" t="n">
        <v>0</v>
      </c>
    </row>
    <row r="236" customFormat="false" ht="18" hidden="false" customHeight="true" outlineLevel="0" collapsed="false">
      <c r="B236" s="38" t="s">
        <v>83</v>
      </c>
      <c r="C236" s="39" t="n">
        <v>0</v>
      </c>
      <c r="D236" s="39" t="n">
        <v>0</v>
      </c>
      <c r="E236" s="39" t="n">
        <v>0</v>
      </c>
      <c r="F236" s="39" t="n">
        <v>0</v>
      </c>
      <c r="G236" s="39" t="n">
        <v>0</v>
      </c>
      <c r="H236" s="39" t="n">
        <v>0</v>
      </c>
      <c r="I236" s="39" t="n">
        <v>0</v>
      </c>
      <c r="J236" s="39" t="n">
        <v>0</v>
      </c>
      <c r="K236" s="39" t="n">
        <v>0</v>
      </c>
      <c r="L236" s="39" t="n">
        <v>0</v>
      </c>
      <c r="M236" s="39" t="n">
        <v>0</v>
      </c>
      <c r="N236" s="39" t="n">
        <v>0</v>
      </c>
    </row>
    <row r="237" customFormat="false" ht="18" hidden="false" customHeight="true" outlineLevel="0" collapsed="false">
      <c r="B237" s="42" t="s">
        <v>84</v>
      </c>
      <c r="C237" s="43" t="n">
        <f aca="false">SUMPRODUCT((MONTH('⚫ Confirmed Attrition'!$G$5:$G$1000)=1)*(YEAR('⚫ Confirmed Attrition'!$G$5:$G$1000)=2026)*('⚫ Confirmed Attrition'!$D$5:$D$1000="Chrisel Lingat Martinez"))</f>
        <v>0</v>
      </c>
      <c r="D237" s="43" t="n">
        <f aca="false">SUMPRODUCT((MONTH('⚫ Confirmed Attrition'!$G$5:$G$1000)=2)*(YEAR('⚫ Confirmed Attrition'!$G$5:$G$1000)=2026)*('⚫ Confirmed Attrition'!$D$5:$D$1000="Chrisel Lingat Martinez"))</f>
        <v>0</v>
      </c>
      <c r="E237" s="43" t="n">
        <f aca="false">SUMPRODUCT((MONTH('⚫ Confirmed Attrition'!$G$5:$G$1000)=3)*(YEAR('⚫ Confirmed Attrition'!$G$5:$G$1000)=2026)*('⚫ Confirmed Attrition'!$D$5:$D$1000="Chrisel Lingat Martinez"))</f>
        <v>0</v>
      </c>
      <c r="F237" s="43" t="n">
        <f aca="false">SUMPRODUCT((MONTH('⚫ Confirmed Attrition'!$G$5:$G$1000)=4)*(YEAR('⚫ Confirmed Attrition'!$G$5:$G$1000)=2026)*('⚫ Confirmed Attrition'!$D$5:$D$1000="Chrisel Lingat Martinez"))</f>
        <v>0</v>
      </c>
      <c r="G237" s="43" t="n">
        <f aca="false">SUMPRODUCT((MONTH('⚫ Confirmed Attrition'!$G$5:$G$1000)=5)*(YEAR('⚫ Confirmed Attrition'!$G$5:$G$1000)=2026)*('⚫ Confirmed Attrition'!$D$5:$D$1000="Chrisel Lingat Martinez"))</f>
        <v>0</v>
      </c>
      <c r="H237" s="43" t="n">
        <f aca="false">SUMPRODUCT((MONTH('⚫ Confirmed Attrition'!$G$5:$G$1000)=6)*(YEAR('⚫ Confirmed Attrition'!$G$5:$G$1000)=2026)*('⚫ Confirmed Attrition'!$D$5:$D$1000="Chrisel Lingat Martinez"))</f>
        <v>0</v>
      </c>
      <c r="I237" s="43" t="n">
        <f aca="false">SUMPRODUCT((MONTH('⚫ Confirmed Attrition'!$G$5:$G$1000)=7)*(YEAR('⚫ Confirmed Attrition'!$G$5:$G$1000)=2026)*('⚫ Confirmed Attrition'!$D$5:$D$1000="Chrisel Lingat Martinez"))</f>
        <v>0</v>
      </c>
      <c r="J237" s="43" t="n">
        <f aca="false">SUMPRODUCT((MONTH('⚫ Confirmed Attrition'!$G$5:$G$1000)=8)*(YEAR('⚫ Confirmed Attrition'!$G$5:$G$1000)=2026)*('⚫ Confirmed Attrition'!$D$5:$D$1000="Chrisel Lingat Martinez"))</f>
        <v>0</v>
      </c>
      <c r="K237" s="43" t="n">
        <f aca="false">SUMPRODUCT((MONTH('⚫ Confirmed Attrition'!$G$5:$G$1000)=9)*(YEAR('⚫ Confirmed Attrition'!$G$5:$G$1000)=2026)*('⚫ Confirmed Attrition'!$D$5:$D$1000="Chrisel Lingat Martinez"))</f>
        <v>0</v>
      </c>
      <c r="L237" s="43" t="n">
        <f aca="false">SUMPRODUCT((MONTH('⚫ Confirmed Attrition'!$G$5:$G$1000)=10)*(YEAR('⚫ Confirmed Attrition'!$G$5:$G$1000)=2026)*('⚫ Confirmed Attrition'!$D$5:$D$1000="Chrisel Lingat Martinez"))</f>
        <v>0</v>
      </c>
      <c r="M237" s="43" t="n">
        <f aca="false">SUMPRODUCT((MONTH('⚫ Confirmed Attrition'!$G$5:$G$1000)=11)*(YEAR('⚫ Confirmed Attrition'!$G$5:$G$1000)=2026)*('⚫ Confirmed Attrition'!$D$5:$D$1000="Chrisel Lingat Martinez"))</f>
        <v>0</v>
      </c>
      <c r="N237" s="43" t="n">
        <f aca="false">SUMPRODUCT((MONTH('⚫ Confirmed Attrition'!$G$5:$G$1000)=12)*(YEAR('⚫ Confirmed Attrition'!$G$5:$G$1000)=2026)*('⚫ Confirmed Attrition'!$D$5:$D$1000="Chrisel Lingat Martinez"))</f>
        <v>0</v>
      </c>
    </row>
    <row r="238" customFormat="false" ht="18" hidden="false" customHeight="true" outlineLevel="0" collapsed="false">
      <c r="B238" s="44" t="s">
        <v>85</v>
      </c>
      <c r="C238" s="45" t="n">
        <v>0</v>
      </c>
      <c r="D238" s="45" t="n">
        <v>0</v>
      </c>
      <c r="E238" s="45" t="n">
        <v>0</v>
      </c>
      <c r="F238" s="45" t="n">
        <v>0</v>
      </c>
      <c r="G238" s="45" t="n">
        <v>0</v>
      </c>
      <c r="H238" s="45" t="n">
        <v>0</v>
      </c>
      <c r="I238" s="45" t="n">
        <v>0</v>
      </c>
      <c r="J238" s="45" t="n">
        <v>0</v>
      </c>
      <c r="K238" s="45" t="n">
        <v>0</v>
      </c>
      <c r="L238" s="45" t="n">
        <v>0</v>
      </c>
      <c r="M238" s="45" t="n">
        <v>0</v>
      </c>
      <c r="N238" s="45" t="n">
        <v>0</v>
      </c>
    </row>
    <row r="239" customFormat="false" ht="18" hidden="false" customHeight="true" outlineLevel="0" collapsed="false">
      <c r="B239" s="44" t="s">
        <v>86</v>
      </c>
      <c r="C239" s="45" t="n">
        <v>0</v>
      </c>
      <c r="D239" s="45" t="n">
        <v>0</v>
      </c>
      <c r="E239" s="45" t="n">
        <v>0</v>
      </c>
      <c r="F239" s="45" t="n">
        <v>0</v>
      </c>
      <c r="G239" s="45" t="n">
        <v>0</v>
      </c>
      <c r="H239" s="45" t="n">
        <v>0</v>
      </c>
      <c r="I239" s="45" t="n">
        <v>0</v>
      </c>
      <c r="J239" s="45" t="n">
        <v>0</v>
      </c>
      <c r="K239" s="45" t="n">
        <v>0</v>
      </c>
      <c r="L239" s="45" t="n">
        <v>0</v>
      </c>
      <c r="M239" s="45" t="n">
        <v>0</v>
      </c>
      <c r="N239" s="45" t="n">
        <v>0</v>
      </c>
    </row>
    <row r="240" customFormat="false" ht="18" hidden="false" customHeight="true" outlineLevel="0" collapsed="false">
      <c r="B240" s="44" t="s">
        <v>87</v>
      </c>
      <c r="C240" s="45" t="n">
        <v>0</v>
      </c>
      <c r="D240" s="45" t="n">
        <v>0</v>
      </c>
      <c r="E240" s="45" t="n">
        <v>0</v>
      </c>
      <c r="F240" s="45" t="n">
        <v>0</v>
      </c>
      <c r="G240" s="45" t="n">
        <v>0</v>
      </c>
      <c r="H240" s="45" t="n">
        <v>0</v>
      </c>
      <c r="I240" s="45" t="n">
        <v>0</v>
      </c>
      <c r="J240" s="45" t="n">
        <v>0</v>
      </c>
      <c r="K240" s="45" t="n">
        <v>0</v>
      </c>
      <c r="L240" s="45" t="n">
        <v>0</v>
      </c>
      <c r="M240" s="45" t="n">
        <v>0</v>
      </c>
      <c r="N240" s="45" t="n">
        <v>0</v>
      </c>
    </row>
    <row r="241" customFormat="false" ht="18" hidden="false" customHeight="true" outlineLevel="0" collapsed="false">
      <c r="B241" s="36" t="s">
        <v>88</v>
      </c>
      <c r="C241" s="37" t="n">
        <v>10</v>
      </c>
      <c r="D241" s="37" t="n">
        <v>0</v>
      </c>
      <c r="E241" s="37" t="n">
        <v>0</v>
      </c>
      <c r="F241" s="37" t="n">
        <v>0</v>
      </c>
      <c r="G241" s="37" t="n">
        <v>0</v>
      </c>
      <c r="H241" s="37" t="n">
        <v>0</v>
      </c>
      <c r="I241" s="37" t="n">
        <v>0</v>
      </c>
      <c r="J241" s="37" t="n">
        <v>0</v>
      </c>
      <c r="K241" s="37" t="n">
        <v>0</v>
      </c>
      <c r="L241" s="37" t="n">
        <v>0</v>
      </c>
      <c r="M241" s="37" t="n">
        <v>0</v>
      </c>
      <c r="N241" s="37" t="n">
        <v>0</v>
      </c>
    </row>
    <row r="244" customFormat="false" ht="27.75" hidden="false" customHeight="true" outlineLevel="0" collapsed="false">
      <c r="B244" s="46" t="s">
        <v>101</v>
      </c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</row>
    <row r="245" customFormat="false" ht="3.75" hidden="false" customHeight="true" outlineLevel="0" collapsed="false"/>
    <row r="246" customFormat="false" ht="25.5" hidden="false" customHeight="true" outlineLevel="0" collapsed="false">
      <c r="B246" s="47" t="s">
        <v>24</v>
      </c>
      <c r="C246" s="47" t="s">
        <v>68</v>
      </c>
      <c r="D246" s="47" t="s">
        <v>69</v>
      </c>
      <c r="E246" s="47" t="s">
        <v>70</v>
      </c>
      <c r="F246" s="47" t="s">
        <v>71</v>
      </c>
      <c r="G246" s="47" t="s">
        <v>72</v>
      </c>
      <c r="H246" s="47" t="s">
        <v>73</v>
      </c>
      <c r="I246" s="47" t="s">
        <v>74</v>
      </c>
      <c r="J246" s="47" t="s">
        <v>75</v>
      </c>
      <c r="K246" s="47" t="s">
        <v>76</v>
      </c>
      <c r="L246" s="47" t="s">
        <v>77</v>
      </c>
      <c r="M246" s="47" t="s">
        <v>78</v>
      </c>
      <c r="N246" s="47" t="s">
        <v>79</v>
      </c>
    </row>
    <row r="247" customFormat="false" ht="18" hidden="false" customHeight="true" outlineLevel="0" collapsed="false">
      <c r="B247" s="36" t="s">
        <v>80</v>
      </c>
      <c r="C247" s="37" t="n">
        <v>2</v>
      </c>
      <c r="D247" s="37" t="n">
        <v>0</v>
      </c>
      <c r="E247" s="37" t="n">
        <v>0</v>
      </c>
      <c r="F247" s="37" t="n">
        <v>0</v>
      </c>
      <c r="G247" s="37" t="n">
        <v>0</v>
      </c>
      <c r="H247" s="37" t="n">
        <v>0</v>
      </c>
      <c r="I247" s="37" t="n">
        <v>0</v>
      </c>
      <c r="J247" s="37" t="n">
        <v>0</v>
      </c>
      <c r="K247" s="37" t="n">
        <v>0</v>
      </c>
      <c r="L247" s="37" t="n">
        <v>0</v>
      </c>
      <c r="M247" s="37" t="n">
        <v>0</v>
      </c>
      <c r="N247" s="37" t="n">
        <v>0</v>
      </c>
    </row>
    <row r="248" customFormat="false" ht="18" hidden="false" customHeight="true" outlineLevel="0" collapsed="false">
      <c r="B248" s="38" t="s">
        <v>81</v>
      </c>
      <c r="C248" s="39" t="n">
        <v>0</v>
      </c>
      <c r="D248" s="39" t="n">
        <v>0</v>
      </c>
      <c r="E248" s="39" t="n">
        <v>0</v>
      </c>
      <c r="F248" s="39" t="n">
        <v>0</v>
      </c>
      <c r="G248" s="39" t="n">
        <v>0</v>
      </c>
      <c r="H248" s="39" t="n">
        <v>0</v>
      </c>
      <c r="I248" s="39" t="n">
        <v>0</v>
      </c>
      <c r="J248" s="39" t="n">
        <v>0</v>
      </c>
      <c r="K248" s="39" t="n">
        <v>0</v>
      </c>
      <c r="L248" s="39" t="n">
        <v>0</v>
      </c>
      <c r="M248" s="39" t="n">
        <v>0</v>
      </c>
      <c r="N248" s="39" t="n">
        <v>0</v>
      </c>
    </row>
    <row r="249" customFormat="false" ht="18" hidden="false" customHeight="true" outlineLevel="0" collapsed="false">
      <c r="B249" s="40" t="s">
        <v>82</v>
      </c>
      <c r="C249" s="41" t="n">
        <v>0</v>
      </c>
      <c r="D249" s="41" t="n">
        <v>0</v>
      </c>
      <c r="E249" s="41" t="n">
        <v>0</v>
      </c>
      <c r="F249" s="41" t="n">
        <v>0</v>
      </c>
      <c r="G249" s="41" t="n">
        <v>0</v>
      </c>
      <c r="H249" s="41" t="n">
        <v>0</v>
      </c>
      <c r="I249" s="41" t="n">
        <v>0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n">
        <v>0</v>
      </c>
    </row>
    <row r="250" customFormat="false" ht="18" hidden="false" customHeight="true" outlineLevel="0" collapsed="false">
      <c r="B250" s="38" t="s">
        <v>83</v>
      </c>
      <c r="C250" s="39" t="n">
        <v>0</v>
      </c>
      <c r="D250" s="39" t="n">
        <v>0</v>
      </c>
      <c r="E250" s="39" t="n">
        <v>0</v>
      </c>
      <c r="F250" s="39" t="n">
        <v>0</v>
      </c>
      <c r="G250" s="39" t="n">
        <v>0</v>
      </c>
      <c r="H250" s="39" t="n">
        <v>0</v>
      </c>
      <c r="I250" s="39" t="n">
        <v>0</v>
      </c>
      <c r="J250" s="39" t="n">
        <v>0</v>
      </c>
      <c r="K250" s="39" t="n">
        <v>0</v>
      </c>
      <c r="L250" s="39" t="n">
        <v>0</v>
      </c>
      <c r="M250" s="39" t="n">
        <v>0</v>
      </c>
      <c r="N250" s="39" t="n">
        <v>0</v>
      </c>
    </row>
    <row r="251" customFormat="false" ht="18" hidden="false" customHeight="true" outlineLevel="0" collapsed="false">
      <c r="B251" s="42" t="s">
        <v>84</v>
      </c>
      <c r="C251" s="43" t="n">
        <f aca="false">SUMPRODUCT((MONTH('⚫ Confirmed Attrition'!$G$5:$G$1000)=1)*(YEAR('⚫ Confirmed Attrition'!$G$5:$G$1000)=2026)*('⚫ Confirmed Attrition'!$D$5:$D$1000="Cres Marvin Alexander Alvaro"))</f>
        <v>0</v>
      </c>
      <c r="D251" s="43" t="n">
        <f aca="false">SUMPRODUCT((MONTH('⚫ Confirmed Attrition'!$G$5:$G$1000)=2)*(YEAR('⚫ Confirmed Attrition'!$G$5:$G$1000)=2026)*('⚫ Confirmed Attrition'!$D$5:$D$1000="Cres Marvin Alexander Alvaro"))</f>
        <v>0</v>
      </c>
      <c r="E251" s="43" t="n">
        <f aca="false">SUMPRODUCT((MONTH('⚫ Confirmed Attrition'!$G$5:$G$1000)=3)*(YEAR('⚫ Confirmed Attrition'!$G$5:$G$1000)=2026)*('⚫ Confirmed Attrition'!$D$5:$D$1000="Cres Marvin Alexander Alvaro"))</f>
        <v>0</v>
      </c>
      <c r="F251" s="43" t="n">
        <f aca="false">SUMPRODUCT((MONTH('⚫ Confirmed Attrition'!$G$5:$G$1000)=4)*(YEAR('⚫ Confirmed Attrition'!$G$5:$G$1000)=2026)*('⚫ Confirmed Attrition'!$D$5:$D$1000="Cres Marvin Alexander Alvaro"))</f>
        <v>0</v>
      </c>
      <c r="G251" s="43" t="n">
        <f aca="false">SUMPRODUCT((MONTH('⚫ Confirmed Attrition'!$G$5:$G$1000)=5)*(YEAR('⚫ Confirmed Attrition'!$G$5:$G$1000)=2026)*('⚫ Confirmed Attrition'!$D$5:$D$1000="Cres Marvin Alexander Alvaro"))</f>
        <v>0</v>
      </c>
      <c r="H251" s="43" t="n">
        <f aca="false">SUMPRODUCT((MONTH('⚫ Confirmed Attrition'!$G$5:$G$1000)=6)*(YEAR('⚫ Confirmed Attrition'!$G$5:$G$1000)=2026)*('⚫ Confirmed Attrition'!$D$5:$D$1000="Cres Marvin Alexander Alvaro"))</f>
        <v>0</v>
      </c>
      <c r="I251" s="43" t="n">
        <f aca="false">SUMPRODUCT((MONTH('⚫ Confirmed Attrition'!$G$5:$G$1000)=7)*(YEAR('⚫ Confirmed Attrition'!$G$5:$G$1000)=2026)*('⚫ Confirmed Attrition'!$D$5:$D$1000="Cres Marvin Alexander Alvaro"))</f>
        <v>0</v>
      </c>
      <c r="J251" s="43" t="n">
        <f aca="false">SUMPRODUCT((MONTH('⚫ Confirmed Attrition'!$G$5:$G$1000)=8)*(YEAR('⚫ Confirmed Attrition'!$G$5:$G$1000)=2026)*('⚫ Confirmed Attrition'!$D$5:$D$1000="Cres Marvin Alexander Alvaro"))</f>
        <v>0</v>
      </c>
      <c r="K251" s="43" t="n">
        <f aca="false">SUMPRODUCT((MONTH('⚫ Confirmed Attrition'!$G$5:$G$1000)=9)*(YEAR('⚫ Confirmed Attrition'!$G$5:$G$1000)=2026)*('⚫ Confirmed Attrition'!$D$5:$D$1000="Cres Marvin Alexander Alvaro"))</f>
        <v>0</v>
      </c>
      <c r="L251" s="43" t="n">
        <f aca="false">SUMPRODUCT((MONTH('⚫ Confirmed Attrition'!$G$5:$G$1000)=10)*(YEAR('⚫ Confirmed Attrition'!$G$5:$G$1000)=2026)*('⚫ Confirmed Attrition'!$D$5:$D$1000="Cres Marvin Alexander Alvaro"))</f>
        <v>0</v>
      </c>
      <c r="M251" s="43" t="n">
        <f aca="false">SUMPRODUCT((MONTH('⚫ Confirmed Attrition'!$G$5:$G$1000)=11)*(YEAR('⚫ Confirmed Attrition'!$G$5:$G$1000)=2026)*('⚫ Confirmed Attrition'!$D$5:$D$1000="Cres Marvin Alexander Alvaro"))</f>
        <v>0</v>
      </c>
      <c r="N251" s="43" t="n">
        <f aca="false">SUMPRODUCT((MONTH('⚫ Confirmed Attrition'!$G$5:$G$1000)=12)*(YEAR('⚫ Confirmed Attrition'!$G$5:$G$1000)=2026)*('⚫ Confirmed Attrition'!$D$5:$D$1000="Cres Marvin Alexander Alvaro"))</f>
        <v>0</v>
      </c>
    </row>
    <row r="252" customFormat="false" ht="18" hidden="false" customHeight="true" outlineLevel="0" collapsed="false">
      <c r="B252" s="44" t="s">
        <v>85</v>
      </c>
      <c r="C252" s="45" t="n">
        <v>0</v>
      </c>
      <c r="D252" s="45" t="n">
        <v>0</v>
      </c>
      <c r="E252" s="45" t="n">
        <v>0</v>
      </c>
      <c r="F252" s="45" t="n">
        <v>0</v>
      </c>
      <c r="G252" s="45" t="n">
        <v>0</v>
      </c>
      <c r="H252" s="45" t="n">
        <v>0</v>
      </c>
      <c r="I252" s="45" t="n">
        <v>0</v>
      </c>
      <c r="J252" s="45" t="n">
        <v>0</v>
      </c>
      <c r="K252" s="45" t="n">
        <v>0</v>
      </c>
      <c r="L252" s="45" t="n">
        <v>0</v>
      </c>
      <c r="M252" s="45" t="n">
        <v>0</v>
      </c>
      <c r="N252" s="45" t="n">
        <v>0</v>
      </c>
    </row>
    <row r="253" customFormat="false" ht="18" hidden="false" customHeight="true" outlineLevel="0" collapsed="false">
      <c r="B253" s="44" t="s">
        <v>86</v>
      </c>
      <c r="C253" s="45" t="n">
        <v>0</v>
      </c>
      <c r="D253" s="45" t="n">
        <v>0</v>
      </c>
      <c r="E253" s="45" t="n">
        <v>0</v>
      </c>
      <c r="F253" s="45" t="n">
        <v>0</v>
      </c>
      <c r="G253" s="45" t="n">
        <v>0</v>
      </c>
      <c r="H253" s="45" t="n">
        <v>0</v>
      </c>
      <c r="I253" s="45" t="n">
        <v>0</v>
      </c>
      <c r="J253" s="45" t="n">
        <v>0</v>
      </c>
      <c r="K253" s="45" t="n">
        <v>0</v>
      </c>
      <c r="L253" s="45" t="n">
        <v>0</v>
      </c>
      <c r="M253" s="45" t="n">
        <v>0</v>
      </c>
      <c r="N253" s="45" t="n">
        <v>0</v>
      </c>
    </row>
    <row r="254" customFormat="false" ht="18" hidden="false" customHeight="true" outlineLevel="0" collapsed="false">
      <c r="B254" s="44" t="s">
        <v>87</v>
      </c>
      <c r="C254" s="45" t="n">
        <v>0</v>
      </c>
      <c r="D254" s="45" t="n">
        <v>0</v>
      </c>
      <c r="E254" s="45" t="n">
        <v>0</v>
      </c>
      <c r="F254" s="45" t="n">
        <v>0</v>
      </c>
      <c r="G254" s="45" t="n">
        <v>0</v>
      </c>
      <c r="H254" s="45" t="n">
        <v>0</v>
      </c>
      <c r="I254" s="45" t="n">
        <v>0</v>
      </c>
      <c r="J254" s="45" t="n">
        <v>0</v>
      </c>
      <c r="K254" s="45" t="n">
        <v>0</v>
      </c>
      <c r="L254" s="45" t="n">
        <v>0</v>
      </c>
      <c r="M254" s="45" t="n">
        <v>0</v>
      </c>
      <c r="N254" s="45" t="n">
        <v>0</v>
      </c>
    </row>
    <row r="255" customFormat="false" ht="18" hidden="false" customHeight="true" outlineLevel="0" collapsed="false">
      <c r="B255" s="36" t="s">
        <v>88</v>
      </c>
      <c r="C255" s="37" t="n">
        <v>2</v>
      </c>
      <c r="D255" s="37" t="n">
        <v>0</v>
      </c>
      <c r="E255" s="37" t="n">
        <v>0</v>
      </c>
      <c r="F255" s="37" t="n">
        <v>0</v>
      </c>
      <c r="G255" s="37" t="n">
        <v>0</v>
      </c>
      <c r="H255" s="37" t="n">
        <v>0</v>
      </c>
      <c r="I255" s="37" t="n">
        <v>0</v>
      </c>
      <c r="J255" s="37" t="n">
        <v>0</v>
      </c>
      <c r="K255" s="37" t="n">
        <v>0</v>
      </c>
      <c r="L255" s="37" t="n">
        <v>0</v>
      </c>
      <c r="M255" s="37" t="n">
        <v>0</v>
      </c>
      <c r="N255" s="37" t="n">
        <v>0</v>
      </c>
    </row>
    <row r="258" customFormat="false" ht="27.75" hidden="false" customHeight="true" outlineLevel="0" collapsed="false">
      <c r="B258" s="46" t="s">
        <v>102</v>
      </c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</row>
    <row r="259" customFormat="false" ht="3.75" hidden="false" customHeight="true" outlineLevel="0" collapsed="false"/>
    <row r="260" customFormat="false" ht="25.5" hidden="false" customHeight="true" outlineLevel="0" collapsed="false">
      <c r="B260" s="47" t="s">
        <v>25</v>
      </c>
      <c r="C260" s="47" t="s">
        <v>68</v>
      </c>
      <c r="D260" s="47" t="s">
        <v>69</v>
      </c>
      <c r="E260" s="47" t="s">
        <v>70</v>
      </c>
      <c r="F260" s="47" t="s">
        <v>71</v>
      </c>
      <c r="G260" s="47" t="s">
        <v>72</v>
      </c>
      <c r="H260" s="47" t="s">
        <v>73</v>
      </c>
      <c r="I260" s="47" t="s">
        <v>74</v>
      </c>
      <c r="J260" s="47" t="s">
        <v>75</v>
      </c>
      <c r="K260" s="47" t="s">
        <v>76</v>
      </c>
      <c r="L260" s="47" t="s">
        <v>77</v>
      </c>
      <c r="M260" s="47" t="s">
        <v>78</v>
      </c>
      <c r="N260" s="47" t="s">
        <v>79</v>
      </c>
    </row>
    <row r="261" customFormat="false" ht="18" hidden="false" customHeight="true" outlineLevel="0" collapsed="false">
      <c r="B261" s="36" t="s">
        <v>80</v>
      </c>
      <c r="C261" s="37" t="n">
        <v>19</v>
      </c>
      <c r="D261" s="37" t="n">
        <v>0</v>
      </c>
      <c r="E261" s="37" t="n">
        <v>0</v>
      </c>
      <c r="F261" s="37" t="n">
        <v>0</v>
      </c>
      <c r="G261" s="37" t="n">
        <v>0</v>
      </c>
      <c r="H261" s="37" t="n">
        <v>0</v>
      </c>
      <c r="I261" s="37" t="n">
        <v>0</v>
      </c>
      <c r="J261" s="37" t="n">
        <v>0</v>
      </c>
      <c r="K261" s="37" t="n">
        <v>0</v>
      </c>
      <c r="L261" s="37" t="n">
        <v>0</v>
      </c>
      <c r="M261" s="37" t="n">
        <v>0</v>
      </c>
      <c r="N261" s="37" t="n">
        <v>0</v>
      </c>
    </row>
    <row r="262" customFormat="false" ht="18" hidden="false" customHeight="true" outlineLevel="0" collapsed="false">
      <c r="B262" s="38" t="s">
        <v>81</v>
      </c>
      <c r="C262" s="39" t="n">
        <v>0</v>
      </c>
      <c r="D262" s="39" t="n">
        <v>0</v>
      </c>
      <c r="E262" s="39" t="n">
        <v>0</v>
      </c>
      <c r="F262" s="39" t="n">
        <v>0</v>
      </c>
      <c r="G262" s="39" t="n">
        <v>0</v>
      </c>
      <c r="H262" s="39" t="n">
        <v>0</v>
      </c>
      <c r="I262" s="39" t="n">
        <v>0</v>
      </c>
      <c r="J262" s="39" t="n">
        <v>0</v>
      </c>
      <c r="K262" s="39" t="n">
        <v>0</v>
      </c>
      <c r="L262" s="39" t="n">
        <v>0</v>
      </c>
      <c r="M262" s="39" t="n">
        <v>0</v>
      </c>
      <c r="N262" s="39" t="n">
        <v>0</v>
      </c>
    </row>
    <row r="263" customFormat="false" ht="18" hidden="false" customHeight="true" outlineLevel="0" collapsed="false">
      <c r="B263" s="40" t="s">
        <v>82</v>
      </c>
      <c r="C263" s="41" t="n">
        <v>0</v>
      </c>
      <c r="D263" s="41" t="n">
        <v>0</v>
      </c>
      <c r="E263" s="41" t="n">
        <v>0</v>
      </c>
      <c r="F263" s="41" t="n">
        <v>0</v>
      </c>
      <c r="G263" s="41" t="n">
        <v>0</v>
      </c>
      <c r="H263" s="41" t="n">
        <v>0</v>
      </c>
      <c r="I263" s="41" t="n">
        <v>0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n">
        <v>0</v>
      </c>
    </row>
    <row r="264" customFormat="false" ht="18" hidden="false" customHeight="true" outlineLevel="0" collapsed="false">
      <c r="B264" s="38" t="s">
        <v>83</v>
      </c>
      <c r="C264" s="39" t="n">
        <v>0</v>
      </c>
      <c r="D264" s="39" t="n">
        <v>0</v>
      </c>
      <c r="E264" s="39" t="n">
        <v>0</v>
      </c>
      <c r="F264" s="39" t="n">
        <v>0</v>
      </c>
      <c r="G264" s="39" t="n">
        <v>0</v>
      </c>
      <c r="H264" s="39" t="n">
        <v>0</v>
      </c>
      <c r="I264" s="39" t="n">
        <v>0</v>
      </c>
      <c r="J264" s="39" t="n">
        <v>0</v>
      </c>
      <c r="K264" s="39" t="n">
        <v>0</v>
      </c>
      <c r="L264" s="39" t="n">
        <v>0</v>
      </c>
      <c r="M264" s="39" t="n">
        <v>0</v>
      </c>
      <c r="N264" s="39" t="n">
        <v>0</v>
      </c>
    </row>
    <row r="265" customFormat="false" ht="18" hidden="false" customHeight="true" outlineLevel="0" collapsed="false">
      <c r="B265" s="42" t="s">
        <v>84</v>
      </c>
      <c r="C265" s="43" t="n">
        <f aca="false">SUMPRODUCT((MONTH('⚫ Confirmed Attrition'!$G$5:$G$1000)=1)*(YEAR('⚫ Confirmed Attrition'!$G$5:$G$1000)=2026)*('⚫ Confirmed Attrition'!$D$5:$D$1000="Danica Villano Furiscal"))</f>
        <v>0</v>
      </c>
      <c r="D265" s="43" t="n">
        <f aca="false">SUMPRODUCT((MONTH('⚫ Confirmed Attrition'!$G$5:$G$1000)=2)*(YEAR('⚫ Confirmed Attrition'!$G$5:$G$1000)=2026)*('⚫ Confirmed Attrition'!$D$5:$D$1000="Danica Villano Furiscal"))</f>
        <v>0</v>
      </c>
      <c r="E265" s="43" t="n">
        <f aca="false">SUMPRODUCT((MONTH('⚫ Confirmed Attrition'!$G$5:$G$1000)=3)*(YEAR('⚫ Confirmed Attrition'!$G$5:$G$1000)=2026)*('⚫ Confirmed Attrition'!$D$5:$D$1000="Danica Villano Furiscal"))</f>
        <v>0</v>
      </c>
      <c r="F265" s="43" t="n">
        <f aca="false">SUMPRODUCT((MONTH('⚫ Confirmed Attrition'!$G$5:$G$1000)=4)*(YEAR('⚫ Confirmed Attrition'!$G$5:$G$1000)=2026)*('⚫ Confirmed Attrition'!$D$5:$D$1000="Danica Villano Furiscal"))</f>
        <v>0</v>
      </c>
      <c r="G265" s="43" t="n">
        <f aca="false">SUMPRODUCT((MONTH('⚫ Confirmed Attrition'!$G$5:$G$1000)=5)*(YEAR('⚫ Confirmed Attrition'!$G$5:$G$1000)=2026)*('⚫ Confirmed Attrition'!$D$5:$D$1000="Danica Villano Furiscal"))</f>
        <v>0</v>
      </c>
      <c r="H265" s="43" t="n">
        <f aca="false">SUMPRODUCT((MONTH('⚫ Confirmed Attrition'!$G$5:$G$1000)=6)*(YEAR('⚫ Confirmed Attrition'!$G$5:$G$1000)=2026)*('⚫ Confirmed Attrition'!$D$5:$D$1000="Danica Villano Furiscal"))</f>
        <v>0</v>
      </c>
      <c r="I265" s="43" t="n">
        <f aca="false">SUMPRODUCT((MONTH('⚫ Confirmed Attrition'!$G$5:$G$1000)=7)*(YEAR('⚫ Confirmed Attrition'!$G$5:$G$1000)=2026)*('⚫ Confirmed Attrition'!$D$5:$D$1000="Danica Villano Furiscal"))</f>
        <v>0</v>
      </c>
      <c r="J265" s="43" t="n">
        <f aca="false">SUMPRODUCT((MONTH('⚫ Confirmed Attrition'!$G$5:$G$1000)=8)*(YEAR('⚫ Confirmed Attrition'!$G$5:$G$1000)=2026)*('⚫ Confirmed Attrition'!$D$5:$D$1000="Danica Villano Furiscal"))</f>
        <v>0</v>
      </c>
      <c r="K265" s="43" t="n">
        <f aca="false">SUMPRODUCT((MONTH('⚫ Confirmed Attrition'!$G$5:$G$1000)=9)*(YEAR('⚫ Confirmed Attrition'!$G$5:$G$1000)=2026)*('⚫ Confirmed Attrition'!$D$5:$D$1000="Danica Villano Furiscal"))</f>
        <v>0</v>
      </c>
      <c r="L265" s="43" t="n">
        <f aca="false">SUMPRODUCT((MONTH('⚫ Confirmed Attrition'!$G$5:$G$1000)=10)*(YEAR('⚫ Confirmed Attrition'!$G$5:$G$1000)=2026)*('⚫ Confirmed Attrition'!$D$5:$D$1000="Danica Villano Furiscal"))</f>
        <v>0</v>
      </c>
      <c r="M265" s="43" t="n">
        <f aca="false">SUMPRODUCT((MONTH('⚫ Confirmed Attrition'!$G$5:$G$1000)=11)*(YEAR('⚫ Confirmed Attrition'!$G$5:$G$1000)=2026)*('⚫ Confirmed Attrition'!$D$5:$D$1000="Danica Villano Furiscal"))</f>
        <v>0</v>
      </c>
      <c r="N265" s="43" t="n">
        <f aca="false">SUMPRODUCT((MONTH('⚫ Confirmed Attrition'!$G$5:$G$1000)=12)*(YEAR('⚫ Confirmed Attrition'!$G$5:$G$1000)=2026)*('⚫ Confirmed Attrition'!$D$5:$D$1000="Danica Villano Furiscal"))</f>
        <v>0</v>
      </c>
    </row>
    <row r="266" customFormat="false" ht="18" hidden="false" customHeight="true" outlineLevel="0" collapsed="false">
      <c r="B266" s="44" t="s">
        <v>85</v>
      </c>
      <c r="C266" s="45" t="n">
        <v>0</v>
      </c>
      <c r="D266" s="45" t="n">
        <v>0</v>
      </c>
      <c r="E266" s="45" t="n">
        <v>0</v>
      </c>
      <c r="F266" s="45" t="n">
        <v>0</v>
      </c>
      <c r="G266" s="45" t="n">
        <v>0</v>
      </c>
      <c r="H266" s="45" t="n">
        <v>0</v>
      </c>
      <c r="I266" s="45" t="n">
        <v>0</v>
      </c>
      <c r="J266" s="45" t="n">
        <v>0</v>
      </c>
      <c r="K266" s="45" t="n">
        <v>0</v>
      </c>
      <c r="L266" s="45" t="n">
        <v>0</v>
      </c>
      <c r="M266" s="45" t="n">
        <v>0</v>
      </c>
      <c r="N266" s="45" t="n">
        <v>0</v>
      </c>
    </row>
    <row r="267" customFormat="false" ht="18" hidden="false" customHeight="true" outlineLevel="0" collapsed="false">
      <c r="B267" s="44" t="s">
        <v>86</v>
      </c>
      <c r="C267" s="45" t="n">
        <v>0</v>
      </c>
      <c r="D267" s="45" t="n">
        <v>0</v>
      </c>
      <c r="E267" s="45" t="n">
        <v>0</v>
      </c>
      <c r="F267" s="45" t="n">
        <v>0</v>
      </c>
      <c r="G267" s="45" t="n">
        <v>0</v>
      </c>
      <c r="H267" s="45" t="n">
        <v>0</v>
      </c>
      <c r="I267" s="45" t="n">
        <v>0</v>
      </c>
      <c r="J267" s="45" t="n">
        <v>0</v>
      </c>
      <c r="K267" s="45" t="n">
        <v>0</v>
      </c>
      <c r="L267" s="45" t="n">
        <v>0</v>
      </c>
      <c r="M267" s="45" t="n">
        <v>0</v>
      </c>
      <c r="N267" s="45" t="n">
        <v>0</v>
      </c>
    </row>
    <row r="268" customFormat="false" ht="18" hidden="false" customHeight="true" outlineLevel="0" collapsed="false">
      <c r="B268" s="44" t="s">
        <v>87</v>
      </c>
      <c r="C268" s="45" t="n">
        <v>0</v>
      </c>
      <c r="D268" s="45" t="n">
        <v>0</v>
      </c>
      <c r="E268" s="45" t="n">
        <v>0</v>
      </c>
      <c r="F268" s="45" t="n">
        <v>0</v>
      </c>
      <c r="G268" s="45" t="n">
        <v>0</v>
      </c>
      <c r="H268" s="45" t="n">
        <v>0</v>
      </c>
      <c r="I268" s="45" t="n">
        <v>0</v>
      </c>
      <c r="J268" s="45" t="n">
        <v>0</v>
      </c>
      <c r="K268" s="45" t="n">
        <v>0</v>
      </c>
      <c r="L268" s="45" t="n">
        <v>0</v>
      </c>
      <c r="M268" s="45" t="n">
        <v>0</v>
      </c>
      <c r="N268" s="45" t="n">
        <v>0</v>
      </c>
    </row>
    <row r="269" customFormat="false" ht="18" hidden="false" customHeight="true" outlineLevel="0" collapsed="false">
      <c r="B269" s="36" t="s">
        <v>88</v>
      </c>
      <c r="C269" s="37" t="n">
        <v>19</v>
      </c>
      <c r="D269" s="37" t="n">
        <v>0</v>
      </c>
      <c r="E269" s="37" t="n">
        <v>0</v>
      </c>
      <c r="F269" s="37" t="n">
        <v>0</v>
      </c>
      <c r="G269" s="37" t="n">
        <v>0</v>
      </c>
      <c r="H269" s="37" t="n">
        <v>0</v>
      </c>
      <c r="I269" s="37" t="n">
        <v>0</v>
      </c>
      <c r="J269" s="37" t="n">
        <v>0</v>
      </c>
      <c r="K269" s="37" t="n">
        <v>0</v>
      </c>
      <c r="L269" s="37" t="n">
        <v>0</v>
      </c>
      <c r="M269" s="37" t="n">
        <v>0</v>
      </c>
      <c r="N269" s="37" t="n">
        <v>0</v>
      </c>
    </row>
    <row r="272" customFormat="false" ht="27.75" hidden="false" customHeight="true" outlineLevel="0" collapsed="false">
      <c r="B272" s="46" t="s">
        <v>103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</row>
    <row r="273" customFormat="false" ht="3.75" hidden="false" customHeight="true" outlineLevel="0" collapsed="false"/>
    <row r="274" customFormat="false" ht="25.5" hidden="false" customHeight="true" outlineLevel="0" collapsed="false">
      <c r="B274" s="47" t="s">
        <v>26</v>
      </c>
      <c r="C274" s="47" t="s">
        <v>68</v>
      </c>
      <c r="D274" s="47" t="s">
        <v>69</v>
      </c>
      <c r="E274" s="47" t="s">
        <v>70</v>
      </c>
      <c r="F274" s="47" t="s">
        <v>71</v>
      </c>
      <c r="G274" s="47" t="s">
        <v>72</v>
      </c>
      <c r="H274" s="47" t="s">
        <v>73</v>
      </c>
      <c r="I274" s="47" t="s">
        <v>74</v>
      </c>
      <c r="J274" s="47" t="s">
        <v>75</v>
      </c>
      <c r="K274" s="47" t="s">
        <v>76</v>
      </c>
      <c r="L274" s="47" t="s">
        <v>77</v>
      </c>
      <c r="M274" s="47" t="s">
        <v>78</v>
      </c>
      <c r="N274" s="47" t="s">
        <v>79</v>
      </c>
    </row>
    <row r="275" customFormat="false" ht="18" hidden="false" customHeight="true" outlineLevel="0" collapsed="false">
      <c r="B275" s="36" t="s">
        <v>80</v>
      </c>
      <c r="C275" s="37" t="n">
        <v>12</v>
      </c>
      <c r="D275" s="37" t="n">
        <v>0</v>
      </c>
      <c r="E275" s="37" t="n">
        <v>0</v>
      </c>
      <c r="F275" s="37" t="n">
        <v>0</v>
      </c>
      <c r="G275" s="37" t="n">
        <v>0</v>
      </c>
      <c r="H275" s="37" t="n">
        <v>0</v>
      </c>
      <c r="I275" s="37" t="n">
        <v>0</v>
      </c>
      <c r="J275" s="37" t="n">
        <v>0</v>
      </c>
      <c r="K275" s="37" t="n">
        <v>0</v>
      </c>
      <c r="L275" s="37" t="n">
        <v>0</v>
      </c>
      <c r="M275" s="37" t="n">
        <v>0</v>
      </c>
      <c r="N275" s="37" t="n">
        <v>0</v>
      </c>
    </row>
    <row r="276" customFormat="false" ht="18" hidden="false" customHeight="true" outlineLevel="0" collapsed="false">
      <c r="B276" s="38" t="s">
        <v>81</v>
      </c>
      <c r="C276" s="39" t="n">
        <v>0</v>
      </c>
      <c r="D276" s="39" t="n">
        <v>0</v>
      </c>
      <c r="E276" s="39" t="n">
        <v>0</v>
      </c>
      <c r="F276" s="39" t="n">
        <v>0</v>
      </c>
      <c r="G276" s="39" t="n">
        <v>0</v>
      </c>
      <c r="H276" s="39" t="n">
        <v>0</v>
      </c>
      <c r="I276" s="39" t="n">
        <v>0</v>
      </c>
      <c r="J276" s="39" t="n">
        <v>0</v>
      </c>
      <c r="K276" s="39" t="n">
        <v>0</v>
      </c>
      <c r="L276" s="39" t="n">
        <v>0</v>
      </c>
      <c r="M276" s="39" t="n">
        <v>0</v>
      </c>
      <c r="N276" s="39" t="n">
        <v>0</v>
      </c>
    </row>
    <row r="277" customFormat="false" ht="18" hidden="false" customHeight="true" outlineLevel="0" collapsed="false">
      <c r="B277" s="40" t="s">
        <v>82</v>
      </c>
      <c r="C277" s="41" t="n">
        <v>0</v>
      </c>
      <c r="D277" s="41" t="n">
        <v>0</v>
      </c>
      <c r="E277" s="41" t="n">
        <v>0</v>
      </c>
      <c r="F277" s="41" t="n">
        <v>0</v>
      </c>
      <c r="G277" s="41" t="n">
        <v>0</v>
      </c>
      <c r="H277" s="41" t="n">
        <v>0</v>
      </c>
      <c r="I277" s="41" t="n">
        <v>0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n">
        <v>0</v>
      </c>
    </row>
    <row r="278" customFormat="false" ht="18" hidden="false" customHeight="true" outlineLevel="0" collapsed="false">
      <c r="B278" s="38" t="s">
        <v>83</v>
      </c>
      <c r="C278" s="39" t="n">
        <v>0</v>
      </c>
      <c r="D278" s="39" t="n">
        <v>0</v>
      </c>
      <c r="E278" s="39" t="n">
        <v>0</v>
      </c>
      <c r="F278" s="39" t="n">
        <v>0</v>
      </c>
      <c r="G278" s="39" t="n">
        <v>0</v>
      </c>
      <c r="H278" s="39" t="n">
        <v>0</v>
      </c>
      <c r="I278" s="39" t="n">
        <v>0</v>
      </c>
      <c r="J278" s="39" t="n">
        <v>0</v>
      </c>
      <c r="K278" s="39" t="n">
        <v>0</v>
      </c>
      <c r="L278" s="39" t="n">
        <v>0</v>
      </c>
      <c r="M278" s="39" t="n">
        <v>0</v>
      </c>
      <c r="N278" s="39" t="n">
        <v>0</v>
      </c>
    </row>
    <row r="279" customFormat="false" ht="18" hidden="false" customHeight="true" outlineLevel="0" collapsed="false">
      <c r="B279" s="42" t="s">
        <v>84</v>
      </c>
      <c r="C279" s="43" t="n">
        <f aca="false">SUMPRODUCT((MONTH('⚫ Confirmed Attrition'!$G$5:$G$1000)=1)*(YEAR('⚫ Confirmed Attrition'!$G$5:$G$1000)=2026)*('⚫ Confirmed Attrition'!$D$5:$D$1000="Desiree Granpil Rudio"))</f>
        <v>0</v>
      </c>
      <c r="D279" s="43" t="n">
        <f aca="false">SUMPRODUCT((MONTH('⚫ Confirmed Attrition'!$G$5:$G$1000)=2)*(YEAR('⚫ Confirmed Attrition'!$G$5:$G$1000)=2026)*('⚫ Confirmed Attrition'!$D$5:$D$1000="Desiree Granpil Rudio"))</f>
        <v>0</v>
      </c>
      <c r="E279" s="43" t="n">
        <f aca="false">SUMPRODUCT((MONTH('⚫ Confirmed Attrition'!$G$5:$G$1000)=3)*(YEAR('⚫ Confirmed Attrition'!$G$5:$G$1000)=2026)*('⚫ Confirmed Attrition'!$D$5:$D$1000="Desiree Granpil Rudio"))</f>
        <v>0</v>
      </c>
      <c r="F279" s="43" t="n">
        <f aca="false">SUMPRODUCT((MONTH('⚫ Confirmed Attrition'!$G$5:$G$1000)=4)*(YEAR('⚫ Confirmed Attrition'!$G$5:$G$1000)=2026)*('⚫ Confirmed Attrition'!$D$5:$D$1000="Desiree Granpil Rudio"))</f>
        <v>0</v>
      </c>
      <c r="G279" s="43" t="n">
        <f aca="false">SUMPRODUCT((MONTH('⚫ Confirmed Attrition'!$G$5:$G$1000)=5)*(YEAR('⚫ Confirmed Attrition'!$G$5:$G$1000)=2026)*('⚫ Confirmed Attrition'!$D$5:$D$1000="Desiree Granpil Rudio"))</f>
        <v>0</v>
      </c>
      <c r="H279" s="43" t="n">
        <f aca="false">SUMPRODUCT((MONTH('⚫ Confirmed Attrition'!$G$5:$G$1000)=6)*(YEAR('⚫ Confirmed Attrition'!$G$5:$G$1000)=2026)*('⚫ Confirmed Attrition'!$D$5:$D$1000="Desiree Granpil Rudio"))</f>
        <v>0</v>
      </c>
      <c r="I279" s="43" t="n">
        <f aca="false">SUMPRODUCT((MONTH('⚫ Confirmed Attrition'!$G$5:$G$1000)=7)*(YEAR('⚫ Confirmed Attrition'!$G$5:$G$1000)=2026)*('⚫ Confirmed Attrition'!$D$5:$D$1000="Desiree Granpil Rudio"))</f>
        <v>0</v>
      </c>
      <c r="J279" s="43" t="n">
        <f aca="false">SUMPRODUCT((MONTH('⚫ Confirmed Attrition'!$G$5:$G$1000)=8)*(YEAR('⚫ Confirmed Attrition'!$G$5:$G$1000)=2026)*('⚫ Confirmed Attrition'!$D$5:$D$1000="Desiree Granpil Rudio"))</f>
        <v>0</v>
      </c>
      <c r="K279" s="43" t="n">
        <f aca="false">SUMPRODUCT((MONTH('⚫ Confirmed Attrition'!$G$5:$G$1000)=9)*(YEAR('⚫ Confirmed Attrition'!$G$5:$G$1000)=2026)*('⚫ Confirmed Attrition'!$D$5:$D$1000="Desiree Granpil Rudio"))</f>
        <v>0</v>
      </c>
      <c r="L279" s="43" t="n">
        <f aca="false">SUMPRODUCT((MONTH('⚫ Confirmed Attrition'!$G$5:$G$1000)=10)*(YEAR('⚫ Confirmed Attrition'!$G$5:$G$1000)=2026)*('⚫ Confirmed Attrition'!$D$5:$D$1000="Desiree Granpil Rudio"))</f>
        <v>0</v>
      </c>
      <c r="M279" s="43" t="n">
        <f aca="false">SUMPRODUCT((MONTH('⚫ Confirmed Attrition'!$G$5:$G$1000)=11)*(YEAR('⚫ Confirmed Attrition'!$G$5:$G$1000)=2026)*('⚫ Confirmed Attrition'!$D$5:$D$1000="Desiree Granpil Rudio"))</f>
        <v>0</v>
      </c>
      <c r="N279" s="43" t="n">
        <f aca="false">SUMPRODUCT((MONTH('⚫ Confirmed Attrition'!$G$5:$G$1000)=12)*(YEAR('⚫ Confirmed Attrition'!$G$5:$G$1000)=2026)*('⚫ Confirmed Attrition'!$D$5:$D$1000="Desiree Granpil Rudio"))</f>
        <v>0</v>
      </c>
    </row>
    <row r="280" customFormat="false" ht="18" hidden="false" customHeight="true" outlineLevel="0" collapsed="false">
      <c r="B280" s="44" t="s">
        <v>85</v>
      </c>
      <c r="C280" s="45" t="n">
        <v>0</v>
      </c>
      <c r="D280" s="45" t="n">
        <v>0</v>
      </c>
      <c r="E280" s="45" t="n">
        <v>0</v>
      </c>
      <c r="F280" s="45" t="n">
        <v>0</v>
      </c>
      <c r="G280" s="45" t="n">
        <v>0</v>
      </c>
      <c r="H280" s="45" t="n">
        <v>0</v>
      </c>
      <c r="I280" s="45" t="n">
        <v>0</v>
      </c>
      <c r="J280" s="45" t="n">
        <v>0</v>
      </c>
      <c r="K280" s="45" t="n">
        <v>0</v>
      </c>
      <c r="L280" s="45" t="n">
        <v>0</v>
      </c>
      <c r="M280" s="45" t="n">
        <v>0</v>
      </c>
      <c r="N280" s="45" t="n">
        <v>0</v>
      </c>
    </row>
    <row r="281" customFormat="false" ht="18" hidden="false" customHeight="true" outlineLevel="0" collapsed="false">
      <c r="B281" s="44" t="s">
        <v>86</v>
      </c>
      <c r="C281" s="45" t="n">
        <v>0</v>
      </c>
      <c r="D281" s="45" t="n">
        <v>0</v>
      </c>
      <c r="E281" s="45" t="n">
        <v>0</v>
      </c>
      <c r="F281" s="45" t="n">
        <v>0</v>
      </c>
      <c r="G281" s="45" t="n">
        <v>0</v>
      </c>
      <c r="H281" s="45" t="n">
        <v>0</v>
      </c>
      <c r="I281" s="45" t="n">
        <v>0</v>
      </c>
      <c r="J281" s="45" t="n">
        <v>0</v>
      </c>
      <c r="K281" s="45" t="n">
        <v>0</v>
      </c>
      <c r="L281" s="45" t="n">
        <v>0</v>
      </c>
      <c r="M281" s="45" t="n">
        <v>0</v>
      </c>
      <c r="N281" s="45" t="n">
        <v>0</v>
      </c>
    </row>
    <row r="282" customFormat="false" ht="18" hidden="false" customHeight="true" outlineLevel="0" collapsed="false">
      <c r="B282" s="44" t="s">
        <v>87</v>
      </c>
      <c r="C282" s="45" t="n">
        <v>0</v>
      </c>
      <c r="D282" s="45" t="n">
        <v>0</v>
      </c>
      <c r="E282" s="45" t="n">
        <v>0</v>
      </c>
      <c r="F282" s="45" t="n">
        <v>0</v>
      </c>
      <c r="G282" s="45" t="n">
        <v>0</v>
      </c>
      <c r="H282" s="45" t="n">
        <v>0</v>
      </c>
      <c r="I282" s="45" t="n">
        <v>0</v>
      </c>
      <c r="J282" s="45" t="n">
        <v>0</v>
      </c>
      <c r="K282" s="45" t="n">
        <v>0</v>
      </c>
      <c r="L282" s="45" t="n">
        <v>0</v>
      </c>
      <c r="M282" s="45" t="n">
        <v>0</v>
      </c>
      <c r="N282" s="45" t="n">
        <v>0</v>
      </c>
    </row>
    <row r="283" customFormat="false" ht="18" hidden="false" customHeight="true" outlineLevel="0" collapsed="false">
      <c r="B283" s="36" t="s">
        <v>88</v>
      </c>
      <c r="C283" s="37" t="n">
        <v>12</v>
      </c>
      <c r="D283" s="37" t="n">
        <v>0</v>
      </c>
      <c r="E283" s="37" t="n">
        <v>0</v>
      </c>
      <c r="F283" s="37" t="n">
        <v>0</v>
      </c>
      <c r="G283" s="37" t="n">
        <v>0</v>
      </c>
      <c r="H283" s="37" t="n">
        <v>0</v>
      </c>
      <c r="I283" s="37" t="n">
        <v>0</v>
      </c>
      <c r="J283" s="37" t="n">
        <v>0</v>
      </c>
      <c r="K283" s="37" t="n">
        <v>0</v>
      </c>
      <c r="L283" s="37" t="n">
        <v>0</v>
      </c>
      <c r="M283" s="37" t="n">
        <v>0</v>
      </c>
      <c r="N283" s="37" t="n">
        <v>0</v>
      </c>
    </row>
    <row r="286" customFormat="false" ht="27.75" hidden="false" customHeight="true" outlineLevel="0" collapsed="false">
      <c r="B286" s="46" t="s">
        <v>104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</row>
    <row r="287" customFormat="false" ht="3.75" hidden="false" customHeight="true" outlineLevel="0" collapsed="false"/>
    <row r="288" customFormat="false" ht="25.5" hidden="false" customHeight="true" outlineLevel="0" collapsed="false">
      <c r="B288" s="47" t="s">
        <v>27</v>
      </c>
      <c r="C288" s="47" t="s">
        <v>68</v>
      </c>
      <c r="D288" s="47" t="s">
        <v>69</v>
      </c>
      <c r="E288" s="47" t="s">
        <v>70</v>
      </c>
      <c r="F288" s="47" t="s">
        <v>71</v>
      </c>
      <c r="G288" s="47" t="s">
        <v>72</v>
      </c>
      <c r="H288" s="47" t="s">
        <v>73</v>
      </c>
      <c r="I288" s="47" t="s">
        <v>74</v>
      </c>
      <c r="J288" s="47" t="s">
        <v>75</v>
      </c>
      <c r="K288" s="47" t="s">
        <v>76</v>
      </c>
      <c r="L288" s="47" t="s">
        <v>77</v>
      </c>
      <c r="M288" s="47" t="s">
        <v>78</v>
      </c>
      <c r="N288" s="47" t="s">
        <v>79</v>
      </c>
    </row>
    <row r="289" customFormat="false" ht="18" hidden="false" customHeight="true" outlineLevel="0" collapsed="false">
      <c r="B289" s="36" t="s">
        <v>80</v>
      </c>
      <c r="C289" s="37" t="n">
        <v>17</v>
      </c>
      <c r="D289" s="37" t="n">
        <v>0</v>
      </c>
      <c r="E289" s="37" t="n">
        <v>0</v>
      </c>
      <c r="F289" s="37" t="n">
        <v>0</v>
      </c>
      <c r="G289" s="37" t="n">
        <v>0</v>
      </c>
      <c r="H289" s="37" t="n">
        <v>0</v>
      </c>
      <c r="I289" s="37" t="n">
        <v>0</v>
      </c>
      <c r="J289" s="37" t="n">
        <v>0</v>
      </c>
      <c r="K289" s="37" t="n">
        <v>0</v>
      </c>
      <c r="L289" s="37" t="n">
        <v>0</v>
      </c>
      <c r="M289" s="37" t="n">
        <v>0</v>
      </c>
      <c r="N289" s="37" t="n">
        <v>0</v>
      </c>
    </row>
    <row r="290" customFormat="false" ht="18" hidden="false" customHeight="true" outlineLevel="0" collapsed="false">
      <c r="B290" s="38" t="s">
        <v>81</v>
      </c>
      <c r="C290" s="39" t="n">
        <v>0</v>
      </c>
      <c r="D290" s="39" t="n">
        <v>0</v>
      </c>
      <c r="E290" s="39" t="n">
        <v>0</v>
      </c>
      <c r="F290" s="39" t="n">
        <v>0</v>
      </c>
      <c r="G290" s="39" t="n">
        <v>0</v>
      </c>
      <c r="H290" s="39" t="n">
        <v>0</v>
      </c>
      <c r="I290" s="39" t="n">
        <v>0</v>
      </c>
      <c r="J290" s="39" t="n">
        <v>0</v>
      </c>
      <c r="K290" s="39" t="n">
        <v>0</v>
      </c>
      <c r="L290" s="39" t="n">
        <v>0</v>
      </c>
      <c r="M290" s="39" t="n">
        <v>0</v>
      </c>
      <c r="N290" s="39" t="n">
        <v>0</v>
      </c>
    </row>
    <row r="291" customFormat="false" ht="18" hidden="false" customHeight="true" outlineLevel="0" collapsed="false">
      <c r="B291" s="40" t="s">
        <v>82</v>
      </c>
      <c r="C291" s="41" t="n">
        <v>0</v>
      </c>
      <c r="D291" s="41" t="n">
        <v>0</v>
      </c>
      <c r="E291" s="41" t="n">
        <v>0</v>
      </c>
      <c r="F291" s="41" t="n">
        <v>0</v>
      </c>
      <c r="G291" s="41" t="n">
        <v>0</v>
      </c>
      <c r="H291" s="41" t="n">
        <v>0</v>
      </c>
      <c r="I291" s="41" t="n">
        <v>0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n">
        <v>0</v>
      </c>
    </row>
    <row r="292" customFormat="false" ht="18" hidden="false" customHeight="true" outlineLevel="0" collapsed="false">
      <c r="B292" s="38" t="s">
        <v>83</v>
      </c>
      <c r="C292" s="39" t="n">
        <v>0</v>
      </c>
      <c r="D292" s="39" t="n">
        <v>0</v>
      </c>
      <c r="E292" s="39" t="n">
        <v>0</v>
      </c>
      <c r="F292" s="39" t="n">
        <v>0</v>
      </c>
      <c r="G292" s="39" t="n">
        <v>0</v>
      </c>
      <c r="H292" s="39" t="n">
        <v>0</v>
      </c>
      <c r="I292" s="39" t="n">
        <v>0</v>
      </c>
      <c r="J292" s="39" t="n">
        <v>0</v>
      </c>
      <c r="K292" s="39" t="n">
        <v>0</v>
      </c>
      <c r="L292" s="39" t="n">
        <v>0</v>
      </c>
      <c r="M292" s="39" t="n">
        <v>0</v>
      </c>
      <c r="N292" s="39" t="n">
        <v>0</v>
      </c>
    </row>
    <row r="293" customFormat="false" ht="18" hidden="false" customHeight="true" outlineLevel="0" collapsed="false">
      <c r="B293" s="42" t="s">
        <v>84</v>
      </c>
      <c r="C293" s="43" t="n">
        <f aca="false">SUMPRODUCT((MONTH('⚫ Confirmed Attrition'!$G$5:$G$1000)=1)*(YEAR('⚫ Confirmed Attrition'!$G$5:$G$1000)=2026)*('⚫ Confirmed Attrition'!$D$5:$D$1000="Donabel Sabado Corrales"))</f>
        <v>0</v>
      </c>
      <c r="D293" s="43" t="n">
        <f aca="false">SUMPRODUCT((MONTH('⚫ Confirmed Attrition'!$G$5:$G$1000)=2)*(YEAR('⚫ Confirmed Attrition'!$G$5:$G$1000)=2026)*('⚫ Confirmed Attrition'!$D$5:$D$1000="Donabel Sabado Corrales"))</f>
        <v>0</v>
      </c>
      <c r="E293" s="43" t="n">
        <f aca="false">SUMPRODUCT((MONTH('⚫ Confirmed Attrition'!$G$5:$G$1000)=3)*(YEAR('⚫ Confirmed Attrition'!$G$5:$G$1000)=2026)*('⚫ Confirmed Attrition'!$D$5:$D$1000="Donabel Sabado Corrales"))</f>
        <v>0</v>
      </c>
      <c r="F293" s="43" t="n">
        <f aca="false">SUMPRODUCT((MONTH('⚫ Confirmed Attrition'!$G$5:$G$1000)=4)*(YEAR('⚫ Confirmed Attrition'!$G$5:$G$1000)=2026)*('⚫ Confirmed Attrition'!$D$5:$D$1000="Donabel Sabado Corrales"))</f>
        <v>0</v>
      </c>
      <c r="G293" s="43" t="n">
        <f aca="false">SUMPRODUCT((MONTH('⚫ Confirmed Attrition'!$G$5:$G$1000)=5)*(YEAR('⚫ Confirmed Attrition'!$G$5:$G$1000)=2026)*('⚫ Confirmed Attrition'!$D$5:$D$1000="Donabel Sabado Corrales"))</f>
        <v>0</v>
      </c>
      <c r="H293" s="43" t="n">
        <f aca="false">SUMPRODUCT((MONTH('⚫ Confirmed Attrition'!$G$5:$G$1000)=6)*(YEAR('⚫ Confirmed Attrition'!$G$5:$G$1000)=2026)*('⚫ Confirmed Attrition'!$D$5:$D$1000="Donabel Sabado Corrales"))</f>
        <v>0</v>
      </c>
      <c r="I293" s="43" t="n">
        <f aca="false">SUMPRODUCT((MONTH('⚫ Confirmed Attrition'!$G$5:$G$1000)=7)*(YEAR('⚫ Confirmed Attrition'!$G$5:$G$1000)=2026)*('⚫ Confirmed Attrition'!$D$5:$D$1000="Donabel Sabado Corrales"))</f>
        <v>0</v>
      </c>
      <c r="J293" s="43" t="n">
        <f aca="false">SUMPRODUCT((MONTH('⚫ Confirmed Attrition'!$G$5:$G$1000)=8)*(YEAR('⚫ Confirmed Attrition'!$G$5:$G$1000)=2026)*('⚫ Confirmed Attrition'!$D$5:$D$1000="Donabel Sabado Corrales"))</f>
        <v>0</v>
      </c>
      <c r="K293" s="43" t="n">
        <f aca="false">SUMPRODUCT((MONTH('⚫ Confirmed Attrition'!$G$5:$G$1000)=9)*(YEAR('⚫ Confirmed Attrition'!$G$5:$G$1000)=2026)*('⚫ Confirmed Attrition'!$D$5:$D$1000="Donabel Sabado Corrales"))</f>
        <v>0</v>
      </c>
      <c r="L293" s="43" t="n">
        <f aca="false">SUMPRODUCT((MONTH('⚫ Confirmed Attrition'!$G$5:$G$1000)=10)*(YEAR('⚫ Confirmed Attrition'!$G$5:$G$1000)=2026)*('⚫ Confirmed Attrition'!$D$5:$D$1000="Donabel Sabado Corrales"))</f>
        <v>0</v>
      </c>
      <c r="M293" s="43" t="n">
        <f aca="false">SUMPRODUCT((MONTH('⚫ Confirmed Attrition'!$G$5:$G$1000)=11)*(YEAR('⚫ Confirmed Attrition'!$G$5:$G$1000)=2026)*('⚫ Confirmed Attrition'!$D$5:$D$1000="Donabel Sabado Corrales"))</f>
        <v>0</v>
      </c>
      <c r="N293" s="43" t="n">
        <f aca="false">SUMPRODUCT((MONTH('⚫ Confirmed Attrition'!$G$5:$G$1000)=12)*(YEAR('⚫ Confirmed Attrition'!$G$5:$G$1000)=2026)*('⚫ Confirmed Attrition'!$D$5:$D$1000="Donabel Sabado Corrales"))</f>
        <v>0</v>
      </c>
    </row>
    <row r="294" customFormat="false" ht="18" hidden="false" customHeight="true" outlineLevel="0" collapsed="false">
      <c r="B294" s="44" t="s">
        <v>85</v>
      </c>
      <c r="C294" s="45" t="n">
        <v>0</v>
      </c>
      <c r="D294" s="45" t="n">
        <v>0</v>
      </c>
      <c r="E294" s="45" t="n">
        <v>0</v>
      </c>
      <c r="F294" s="45" t="n">
        <v>0</v>
      </c>
      <c r="G294" s="45" t="n">
        <v>0</v>
      </c>
      <c r="H294" s="45" t="n">
        <v>0</v>
      </c>
      <c r="I294" s="45" t="n">
        <v>0</v>
      </c>
      <c r="J294" s="45" t="n">
        <v>0</v>
      </c>
      <c r="K294" s="45" t="n">
        <v>0</v>
      </c>
      <c r="L294" s="45" t="n">
        <v>0</v>
      </c>
      <c r="M294" s="45" t="n">
        <v>0</v>
      </c>
      <c r="N294" s="45" t="n">
        <v>0</v>
      </c>
    </row>
    <row r="295" customFormat="false" ht="18" hidden="false" customHeight="true" outlineLevel="0" collapsed="false">
      <c r="B295" s="44" t="s">
        <v>86</v>
      </c>
      <c r="C295" s="45" t="n">
        <v>0</v>
      </c>
      <c r="D295" s="45" t="n">
        <v>0</v>
      </c>
      <c r="E295" s="45" t="n">
        <v>0</v>
      </c>
      <c r="F295" s="45" t="n">
        <v>0</v>
      </c>
      <c r="G295" s="45" t="n">
        <v>0</v>
      </c>
      <c r="H295" s="45" t="n">
        <v>0</v>
      </c>
      <c r="I295" s="45" t="n">
        <v>0</v>
      </c>
      <c r="J295" s="45" t="n">
        <v>0</v>
      </c>
      <c r="K295" s="45" t="n">
        <v>0</v>
      </c>
      <c r="L295" s="45" t="n">
        <v>0</v>
      </c>
      <c r="M295" s="45" t="n">
        <v>0</v>
      </c>
      <c r="N295" s="45" t="n">
        <v>0</v>
      </c>
    </row>
    <row r="296" customFormat="false" ht="18" hidden="false" customHeight="true" outlineLevel="0" collapsed="false">
      <c r="B296" s="44" t="s">
        <v>87</v>
      </c>
      <c r="C296" s="45" t="n">
        <v>0</v>
      </c>
      <c r="D296" s="45" t="n">
        <v>0</v>
      </c>
      <c r="E296" s="45" t="n">
        <v>0</v>
      </c>
      <c r="F296" s="45" t="n">
        <v>0</v>
      </c>
      <c r="G296" s="45" t="n">
        <v>0</v>
      </c>
      <c r="H296" s="45" t="n">
        <v>0</v>
      </c>
      <c r="I296" s="45" t="n">
        <v>0</v>
      </c>
      <c r="J296" s="45" t="n">
        <v>0</v>
      </c>
      <c r="K296" s="45" t="n">
        <v>0</v>
      </c>
      <c r="L296" s="45" t="n">
        <v>0</v>
      </c>
      <c r="M296" s="45" t="n">
        <v>0</v>
      </c>
      <c r="N296" s="45" t="n">
        <v>0</v>
      </c>
    </row>
    <row r="297" customFormat="false" ht="18" hidden="false" customHeight="true" outlineLevel="0" collapsed="false">
      <c r="B297" s="36" t="s">
        <v>88</v>
      </c>
      <c r="C297" s="37" t="n">
        <v>17</v>
      </c>
      <c r="D297" s="37" t="n">
        <v>0</v>
      </c>
      <c r="E297" s="37" t="n">
        <v>0</v>
      </c>
      <c r="F297" s="37" t="n">
        <v>0</v>
      </c>
      <c r="G297" s="37" t="n">
        <v>0</v>
      </c>
      <c r="H297" s="37" t="n">
        <v>0</v>
      </c>
      <c r="I297" s="37" t="n">
        <v>0</v>
      </c>
      <c r="J297" s="37" t="n">
        <v>0</v>
      </c>
      <c r="K297" s="37" t="n">
        <v>0</v>
      </c>
      <c r="L297" s="37" t="n">
        <v>0</v>
      </c>
      <c r="M297" s="37" t="n">
        <v>0</v>
      </c>
      <c r="N297" s="37" t="n">
        <v>0</v>
      </c>
    </row>
    <row r="300" customFormat="false" ht="27.75" hidden="false" customHeight="true" outlineLevel="0" collapsed="false">
      <c r="B300" s="46" t="s">
        <v>105</v>
      </c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</row>
    <row r="301" customFormat="false" ht="3.75" hidden="false" customHeight="true" outlineLevel="0" collapsed="false"/>
    <row r="302" customFormat="false" ht="25.5" hidden="false" customHeight="true" outlineLevel="0" collapsed="false">
      <c r="B302" s="47" t="s">
        <v>28</v>
      </c>
      <c r="C302" s="47" t="s">
        <v>68</v>
      </c>
      <c r="D302" s="47" t="s">
        <v>69</v>
      </c>
      <c r="E302" s="47" t="s">
        <v>70</v>
      </c>
      <c r="F302" s="47" t="s">
        <v>71</v>
      </c>
      <c r="G302" s="47" t="s">
        <v>72</v>
      </c>
      <c r="H302" s="47" t="s">
        <v>73</v>
      </c>
      <c r="I302" s="47" t="s">
        <v>74</v>
      </c>
      <c r="J302" s="47" t="s">
        <v>75</v>
      </c>
      <c r="K302" s="47" t="s">
        <v>76</v>
      </c>
      <c r="L302" s="47" t="s">
        <v>77</v>
      </c>
      <c r="M302" s="47" t="s">
        <v>78</v>
      </c>
      <c r="N302" s="47" t="s">
        <v>79</v>
      </c>
    </row>
    <row r="303" customFormat="false" ht="18" hidden="false" customHeight="true" outlineLevel="0" collapsed="false">
      <c r="B303" s="36" t="s">
        <v>80</v>
      </c>
      <c r="C303" s="37" t="n">
        <v>18</v>
      </c>
      <c r="D303" s="37" t="n">
        <v>0</v>
      </c>
      <c r="E303" s="37" t="n">
        <v>0</v>
      </c>
      <c r="F303" s="37" t="n">
        <v>0</v>
      </c>
      <c r="G303" s="37" t="n">
        <v>0</v>
      </c>
      <c r="H303" s="37" t="n">
        <v>0</v>
      </c>
      <c r="I303" s="37" t="n">
        <v>0</v>
      </c>
      <c r="J303" s="37" t="n">
        <v>0</v>
      </c>
      <c r="K303" s="37" t="n">
        <v>0</v>
      </c>
      <c r="L303" s="37" t="n">
        <v>0</v>
      </c>
      <c r="M303" s="37" t="n">
        <v>0</v>
      </c>
      <c r="N303" s="37" t="n">
        <v>0</v>
      </c>
    </row>
    <row r="304" customFormat="false" ht="18" hidden="false" customHeight="true" outlineLevel="0" collapsed="false">
      <c r="B304" s="38" t="s">
        <v>81</v>
      </c>
      <c r="C304" s="39" t="n">
        <v>0</v>
      </c>
      <c r="D304" s="39" t="n">
        <v>0</v>
      </c>
      <c r="E304" s="39" t="n">
        <v>0</v>
      </c>
      <c r="F304" s="39" t="n">
        <v>0</v>
      </c>
      <c r="G304" s="39" t="n">
        <v>0</v>
      </c>
      <c r="H304" s="39" t="n">
        <v>0</v>
      </c>
      <c r="I304" s="39" t="n">
        <v>0</v>
      </c>
      <c r="J304" s="39" t="n">
        <v>0</v>
      </c>
      <c r="K304" s="39" t="n">
        <v>0</v>
      </c>
      <c r="L304" s="39" t="n">
        <v>0</v>
      </c>
      <c r="M304" s="39" t="n">
        <v>0</v>
      </c>
      <c r="N304" s="39" t="n">
        <v>0</v>
      </c>
    </row>
    <row r="305" customFormat="false" ht="18" hidden="false" customHeight="true" outlineLevel="0" collapsed="false">
      <c r="B305" s="40" t="s">
        <v>82</v>
      </c>
      <c r="C305" s="41" t="n">
        <v>0</v>
      </c>
      <c r="D305" s="41" t="n">
        <v>0</v>
      </c>
      <c r="E305" s="41" t="n">
        <v>0</v>
      </c>
      <c r="F305" s="41" t="n">
        <v>0</v>
      </c>
      <c r="G305" s="41" t="n">
        <v>0</v>
      </c>
      <c r="H305" s="41" t="n">
        <v>0</v>
      </c>
      <c r="I305" s="41" t="n">
        <v>0</v>
      </c>
      <c r="J305" s="41" t="n">
        <v>0</v>
      </c>
      <c r="K305" s="41" t="n">
        <v>0</v>
      </c>
      <c r="L305" s="41" t="n">
        <v>0</v>
      </c>
      <c r="M305" s="41" t="n">
        <v>0</v>
      </c>
      <c r="N305" s="41" t="n">
        <v>0</v>
      </c>
    </row>
    <row r="306" customFormat="false" ht="18" hidden="false" customHeight="true" outlineLevel="0" collapsed="false">
      <c r="B306" s="38" t="s">
        <v>83</v>
      </c>
      <c r="C306" s="39" t="n">
        <v>0</v>
      </c>
      <c r="D306" s="39" t="n">
        <v>0</v>
      </c>
      <c r="E306" s="39" t="n">
        <v>0</v>
      </c>
      <c r="F306" s="39" t="n">
        <v>0</v>
      </c>
      <c r="G306" s="39" t="n">
        <v>0</v>
      </c>
      <c r="H306" s="39" t="n">
        <v>0</v>
      </c>
      <c r="I306" s="39" t="n">
        <v>0</v>
      </c>
      <c r="J306" s="39" t="n">
        <v>0</v>
      </c>
      <c r="K306" s="39" t="n">
        <v>0</v>
      </c>
      <c r="L306" s="39" t="n">
        <v>0</v>
      </c>
      <c r="M306" s="39" t="n">
        <v>0</v>
      </c>
      <c r="N306" s="39" t="n">
        <v>0</v>
      </c>
    </row>
    <row r="307" customFormat="false" ht="18" hidden="false" customHeight="true" outlineLevel="0" collapsed="false">
      <c r="B307" s="42" t="s">
        <v>84</v>
      </c>
      <c r="C307" s="43" t="n">
        <f aca="false">SUMPRODUCT((MONTH('⚫ Confirmed Attrition'!$G$5:$G$1000)=1)*(YEAR('⚫ Confirmed Attrition'!$G$5:$G$1000)=2026)*('⚫ Confirmed Attrition'!$D$5:$D$1000="Efren Jr Caitor Variacion"))</f>
        <v>0</v>
      </c>
      <c r="D307" s="43" t="n">
        <f aca="false">SUMPRODUCT((MONTH('⚫ Confirmed Attrition'!$G$5:$G$1000)=2)*(YEAR('⚫ Confirmed Attrition'!$G$5:$G$1000)=2026)*('⚫ Confirmed Attrition'!$D$5:$D$1000="Efren Jr Caitor Variacion"))</f>
        <v>0</v>
      </c>
      <c r="E307" s="43" t="n">
        <f aca="false">SUMPRODUCT((MONTH('⚫ Confirmed Attrition'!$G$5:$G$1000)=3)*(YEAR('⚫ Confirmed Attrition'!$G$5:$G$1000)=2026)*('⚫ Confirmed Attrition'!$D$5:$D$1000="Efren Jr Caitor Variacion"))</f>
        <v>0</v>
      </c>
      <c r="F307" s="43" t="n">
        <f aca="false">SUMPRODUCT((MONTH('⚫ Confirmed Attrition'!$G$5:$G$1000)=4)*(YEAR('⚫ Confirmed Attrition'!$G$5:$G$1000)=2026)*('⚫ Confirmed Attrition'!$D$5:$D$1000="Efren Jr Caitor Variacion"))</f>
        <v>0</v>
      </c>
      <c r="G307" s="43" t="n">
        <f aca="false">SUMPRODUCT((MONTH('⚫ Confirmed Attrition'!$G$5:$G$1000)=5)*(YEAR('⚫ Confirmed Attrition'!$G$5:$G$1000)=2026)*('⚫ Confirmed Attrition'!$D$5:$D$1000="Efren Jr Caitor Variacion"))</f>
        <v>0</v>
      </c>
      <c r="H307" s="43" t="n">
        <f aca="false">SUMPRODUCT((MONTH('⚫ Confirmed Attrition'!$G$5:$G$1000)=6)*(YEAR('⚫ Confirmed Attrition'!$G$5:$G$1000)=2026)*('⚫ Confirmed Attrition'!$D$5:$D$1000="Efren Jr Caitor Variacion"))</f>
        <v>0</v>
      </c>
      <c r="I307" s="43" t="n">
        <f aca="false">SUMPRODUCT((MONTH('⚫ Confirmed Attrition'!$G$5:$G$1000)=7)*(YEAR('⚫ Confirmed Attrition'!$G$5:$G$1000)=2026)*('⚫ Confirmed Attrition'!$D$5:$D$1000="Efren Jr Caitor Variacion"))</f>
        <v>0</v>
      </c>
      <c r="J307" s="43" t="n">
        <f aca="false">SUMPRODUCT((MONTH('⚫ Confirmed Attrition'!$G$5:$G$1000)=8)*(YEAR('⚫ Confirmed Attrition'!$G$5:$G$1000)=2026)*('⚫ Confirmed Attrition'!$D$5:$D$1000="Efren Jr Caitor Variacion"))</f>
        <v>0</v>
      </c>
      <c r="K307" s="43" t="n">
        <f aca="false">SUMPRODUCT((MONTH('⚫ Confirmed Attrition'!$G$5:$G$1000)=9)*(YEAR('⚫ Confirmed Attrition'!$G$5:$G$1000)=2026)*('⚫ Confirmed Attrition'!$D$5:$D$1000="Efren Jr Caitor Variacion"))</f>
        <v>0</v>
      </c>
      <c r="L307" s="43" t="n">
        <f aca="false">SUMPRODUCT((MONTH('⚫ Confirmed Attrition'!$G$5:$G$1000)=10)*(YEAR('⚫ Confirmed Attrition'!$G$5:$G$1000)=2026)*('⚫ Confirmed Attrition'!$D$5:$D$1000="Efren Jr Caitor Variacion"))</f>
        <v>0</v>
      </c>
      <c r="M307" s="43" t="n">
        <f aca="false">SUMPRODUCT((MONTH('⚫ Confirmed Attrition'!$G$5:$G$1000)=11)*(YEAR('⚫ Confirmed Attrition'!$G$5:$G$1000)=2026)*('⚫ Confirmed Attrition'!$D$5:$D$1000="Efren Jr Caitor Variacion"))</f>
        <v>0</v>
      </c>
      <c r="N307" s="43" t="n">
        <f aca="false">SUMPRODUCT((MONTH('⚫ Confirmed Attrition'!$G$5:$G$1000)=12)*(YEAR('⚫ Confirmed Attrition'!$G$5:$G$1000)=2026)*('⚫ Confirmed Attrition'!$D$5:$D$1000="Efren Jr Caitor Variacion"))</f>
        <v>0</v>
      </c>
    </row>
    <row r="308" customFormat="false" ht="18" hidden="false" customHeight="true" outlineLevel="0" collapsed="false">
      <c r="B308" s="44" t="s">
        <v>85</v>
      </c>
      <c r="C308" s="45" t="n">
        <v>0</v>
      </c>
      <c r="D308" s="45" t="n">
        <v>0</v>
      </c>
      <c r="E308" s="45" t="n">
        <v>0</v>
      </c>
      <c r="F308" s="45" t="n">
        <v>0</v>
      </c>
      <c r="G308" s="45" t="n">
        <v>0</v>
      </c>
      <c r="H308" s="45" t="n">
        <v>0</v>
      </c>
      <c r="I308" s="45" t="n">
        <v>0</v>
      </c>
      <c r="J308" s="45" t="n">
        <v>0</v>
      </c>
      <c r="K308" s="45" t="n">
        <v>0</v>
      </c>
      <c r="L308" s="45" t="n">
        <v>0</v>
      </c>
      <c r="M308" s="45" t="n">
        <v>0</v>
      </c>
      <c r="N308" s="45" t="n">
        <v>0</v>
      </c>
    </row>
    <row r="309" customFormat="false" ht="18" hidden="false" customHeight="true" outlineLevel="0" collapsed="false">
      <c r="B309" s="44" t="s">
        <v>86</v>
      </c>
      <c r="C309" s="45" t="n">
        <v>0</v>
      </c>
      <c r="D309" s="45" t="n">
        <v>0</v>
      </c>
      <c r="E309" s="45" t="n">
        <v>0</v>
      </c>
      <c r="F309" s="45" t="n">
        <v>0</v>
      </c>
      <c r="G309" s="45" t="n">
        <v>0</v>
      </c>
      <c r="H309" s="45" t="n">
        <v>0</v>
      </c>
      <c r="I309" s="45" t="n">
        <v>0</v>
      </c>
      <c r="J309" s="45" t="n">
        <v>0</v>
      </c>
      <c r="K309" s="45" t="n">
        <v>0</v>
      </c>
      <c r="L309" s="45" t="n">
        <v>0</v>
      </c>
      <c r="M309" s="45" t="n">
        <v>0</v>
      </c>
      <c r="N309" s="45" t="n">
        <v>0</v>
      </c>
    </row>
    <row r="310" customFormat="false" ht="18" hidden="false" customHeight="true" outlineLevel="0" collapsed="false">
      <c r="B310" s="44" t="s">
        <v>87</v>
      </c>
      <c r="C310" s="45" t="n">
        <v>0</v>
      </c>
      <c r="D310" s="45" t="n">
        <v>0</v>
      </c>
      <c r="E310" s="45" t="n">
        <v>0</v>
      </c>
      <c r="F310" s="45" t="n">
        <v>0</v>
      </c>
      <c r="G310" s="45" t="n">
        <v>0</v>
      </c>
      <c r="H310" s="45" t="n">
        <v>0</v>
      </c>
      <c r="I310" s="45" t="n">
        <v>0</v>
      </c>
      <c r="J310" s="45" t="n">
        <v>0</v>
      </c>
      <c r="K310" s="45" t="n">
        <v>0</v>
      </c>
      <c r="L310" s="45" t="n">
        <v>0</v>
      </c>
      <c r="M310" s="45" t="n">
        <v>0</v>
      </c>
      <c r="N310" s="45" t="n">
        <v>0</v>
      </c>
    </row>
    <row r="311" customFormat="false" ht="18" hidden="false" customHeight="true" outlineLevel="0" collapsed="false">
      <c r="B311" s="36" t="s">
        <v>88</v>
      </c>
      <c r="C311" s="37" t="n">
        <v>18</v>
      </c>
      <c r="D311" s="37" t="n">
        <v>0</v>
      </c>
      <c r="E311" s="37" t="n">
        <v>0</v>
      </c>
      <c r="F311" s="37" t="n">
        <v>0</v>
      </c>
      <c r="G311" s="37" t="n">
        <v>0</v>
      </c>
      <c r="H311" s="37" t="n">
        <v>0</v>
      </c>
      <c r="I311" s="37" t="n">
        <v>0</v>
      </c>
      <c r="J311" s="37" t="n">
        <v>0</v>
      </c>
      <c r="K311" s="37" t="n">
        <v>0</v>
      </c>
      <c r="L311" s="37" t="n">
        <v>0</v>
      </c>
      <c r="M311" s="37" t="n">
        <v>0</v>
      </c>
      <c r="N311" s="37" t="n">
        <v>0</v>
      </c>
    </row>
    <row r="314" customFormat="false" ht="27.75" hidden="false" customHeight="true" outlineLevel="0" collapsed="false">
      <c r="B314" s="46" t="s">
        <v>106</v>
      </c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</row>
    <row r="315" customFormat="false" ht="3.75" hidden="false" customHeight="true" outlineLevel="0" collapsed="false"/>
    <row r="316" customFormat="false" ht="25.5" hidden="false" customHeight="true" outlineLevel="0" collapsed="false">
      <c r="B316" s="47" t="s">
        <v>29</v>
      </c>
      <c r="C316" s="47" t="s">
        <v>68</v>
      </c>
      <c r="D316" s="47" t="s">
        <v>69</v>
      </c>
      <c r="E316" s="47" t="s">
        <v>70</v>
      </c>
      <c r="F316" s="47" t="s">
        <v>71</v>
      </c>
      <c r="G316" s="47" t="s">
        <v>72</v>
      </c>
      <c r="H316" s="47" t="s">
        <v>73</v>
      </c>
      <c r="I316" s="47" t="s">
        <v>74</v>
      </c>
      <c r="J316" s="47" t="s">
        <v>75</v>
      </c>
      <c r="K316" s="47" t="s">
        <v>76</v>
      </c>
      <c r="L316" s="47" t="s">
        <v>77</v>
      </c>
      <c r="M316" s="47" t="s">
        <v>78</v>
      </c>
      <c r="N316" s="47" t="s">
        <v>79</v>
      </c>
    </row>
    <row r="317" customFormat="false" ht="18" hidden="false" customHeight="true" outlineLevel="0" collapsed="false">
      <c r="B317" s="36" t="s">
        <v>80</v>
      </c>
      <c r="C317" s="37" t="n">
        <v>4</v>
      </c>
      <c r="D317" s="37" t="n">
        <v>0</v>
      </c>
      <c r="E317" s="37" t="n">
        <v>0</v>
      </c>
      <c r="F317" s="37" t="n">
        <v>0</v>
      </c>
      <c r="G317" s="37" t="n">
        <v>0</v>
      </c>
      <c r="H317" s="37" t="n">
        <v>0</v>
      </c>
      <c r="I317" s="37" t="n">
        <v>0</v>
      </c>
      <c r="J317" s="37" t="n">
        <v>0</v>
      </c>
      <c r="K317" s="37" t="n">
        <v>0</v>
      </c>
      <c r="L317" s="37" t="n">
        <v>0</v>
      </c>
      <c r="M317" s="37" t="n">
        <v>0</v>
      </c>
      <c r="N317" s="37" t="n">
        <v>0</v>
      </c>
    </row>
    <row r="318" customFormat="false" ht="18" hidden="false" customHeight="true" outlineLevel="0" collapsed="false">
      <c r="B318" s="38" t="s">
        <v>81</v>
      </c>
      <c r="C318" s="39" t="n">
        <v>0</v>
      </c>
      <c r="D318" s="39" t="n">
        <v>0</v>
      </c>
      <c r="E318" s="39" t="n">
        <v>0</v>
      </c>
      <c r="F318" s="39" t="n">
        <v>0</v>
      </c>
      <c r="G318" s="39" t="n">
        <v>0</v>
      </c>
      <c r="H318" s="39" t="n">
        <v>0</v>
      </c>
      <c r="I318" s="39" t="n">
        <v>0</v>
      </c>
      <c r="J318" s="39" t="n">
        <v>0</v>
      </c>
      <c r="K318" s="39" t="n">
        <v>0</v>
      </c>
      <c r="L318" s="39" t="n">
        <v>0</v>
      </c>
      <c r="M318" s="39" t="n">
        <v>0</v>
      </c>
      <c r="N318" s="39" t="n">
        <v>0</v>
      </c>
    </row>
    <row r="319" customFormat="false" ht="18" hidden="false" customHeight="true" outlineLevel="0" collapsed="false">
      <c r="B319" s="40" t="s">
        <v>82</v>
      </c>
      <c r="C319" s="41" t="n">
        <v>0</v>
      </c>
      <c r="D319" s="41" t="n">
        <v>0</v>
      </c>
      <c r="E319" s="41" t="n">
        <v>0</v>
      </c>
      <c r="F319" s="41" t="n">
        <v>0</v>
      </c>
      <c r="G319" s="41" t="n">
        <v>0</v>
      </c>
      <c r="H319" s="41" t="n">
        <v>0</v>
      </c>
      <c r="I319" s="41" t="n">
        <v>0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n">
        <v>0</v>
      </c>
    </row>
    <row r="320" customFormat="false" ht="18" hidden="false" customHeight="true" outlineLevel="0" collapsed="false">
      <c r="B320" s="38" t="s">
        <v>83</v>
      </c>
      <c r="C320" s="39" t="n">
        <v>0</v>
      </c>
      <c r="D320" s="39" t="n">
        <v>0</v>
      </c>
      <c r="E320" s="39" t="n">
        <v>0</v>
      </c>
      <c r="F320" s="39" t="n">
        <v>0</v>
      </c>
      <c r="G320" s="39" t="n">
        <v>0</v>
      </c>
      <c r="H320" s="39" t="n">
        <v>0</v>
      </c>
      <c r="I320" s="39" t="n">
        <v>0</v>
      </c>
      <c r="J320" s="39" t="n">
        <v>0</v>
      </c>
      <c r="K320" s="39" t="n">
        <v>0</v>
      </c>
      <c r="L320" s="39" t="n">
        <v>0</v>
      </c>
      <c r="M320" s="39" t="n">
        <v>0</v>
      </c>
      <c r="N320" s="39" t="n">
        <v>0</v>
      </c>
    </row>
    <row r="321" customFormat="false" ht="18" hidden="false" customHeight="true" outlineLevel="0" collapsed="false">
      <c r="B321" s="42" t="s">
        <v>84</v>
      </c>
      <c r="C321" s="43" t="n">
        <f aca="false">SUMPRODUCT((MONTH('⚫ Confirmed Attrition'!$G$5:$G$1000)=1)*(YEAR('⚫ Confirmed Attrition'!$G$5:$G$1000)=2026)*('⚫ Confirmed Attrition'!$D$5:$D$1000="Frederic Matthew Carlos Tuting"))</f>
        <v>0</v>
      </c>
      <c r="D321" s="43" t="n">
        <f aca="false">SUMPRODUCT((MONTH('⚫ Confirmed Attrition'!$G$5:$G$1000)=2)*(YEAR('⚫ Confirmed Attrition'!$G$5:$G$1000)=2026)*('⚫ Confirmed Attrition'!$D$5:$D$1000="Frederic Matthew Carlos Tuting"))</f>
        <v>0</v>
      </c>
      <c r="E321" s="43" t="n">
        <f aca="false">SUMPRODUCT((MONTH('⚫ Confirmed Attrition'!$G$5:$G$1000)=3)*(YEAR('⚫ Confirmed Attrition'!$G$5:$G$1000)=2026)*('⚫ Confirmed Attrition'!$D$5:$D$1000="Frederic Matthew Carlos Tuting"))</f>
        <v>0</v>
      </c>
      <c r="F321" s="43" t="n">
        <f aca="false">SUMPRODUCT((MONTH('⚫ Confirmed Attrition'!$G$5:$G$1000)=4)*(YEAR('⚫ Confirmed Attrition'!$G$5:$G$1000)=2026)*('⚫ Confirmed Attrition'!$D$5:$D$1000="Frederic Matthew Carlos Tuting"))</f>
        <v>0</v>
      </c>
      <c r="G321" s="43" t="n">
        <f aca="false">SUMPRODUCT((MONTH('⚫ Confirmed Attrition'!$G$5:$G$1000)=5)*(YEAR('⚫ Confirmed Attrition'!$G$5:$G$1000)=2026)*('⚫ Confirmed Attrition'!$D$5:$D$1000="Frederic Matthew Carlos Tuting"))</f>
        <v>0</v>
      </c>
      <c r="H321" s="43" t="n">
        <f aca="false">SUMPRODUCT((MONTH('⚫ Confirmed Attrition'!$G$5:$G$1000)=6)*(YEAR('⚫ Confirmed Attrition'!$G$5:$G$1000)=2026)*('⚫ Confirmed Attrition'!$D$5:$D$1000="Frederic Matthew Carlos Tuting"))</f>
        <v>0</v>
      </c>
      <c r="I321" s="43" t="n">
        <f aca="false">SUMPRODUCT((MONTH('⚫ Confirmed Attrition'!$G$5:$G$1000)=7)*(YEAR('⚫ Confirmed Attrition'!$G$5:$G$1000)=2026)*('⚫ Confirmed Attrition'!$D$5:$D$1000="Frederic Matthew Carlos Tuting"))</f>
        <v>0</v>
      </c>
      <c r="J321" s="43" t="n">
        <f aca="false">SUMPRODUCT((MONTH('⚫ Confirmed Attrition'!$G$5:$G$1000)=8)*(YEAR('⚫ Confirmed Attrition'!$G$5:$G$1000)=2026)*('⚫ Confirmed Attrition'!$D$5:$D$1000="Frederic Matthew Carlos Tuting"))</f>
        <v>0</v>
      </c>
      <c r="K321" s="43" t="n">
        <f aca="false">SUMPRODUCT((MONTH('⚫ Confirmed Attrition'!$G$5:$G$1000)=9)*(YEAR('⚫ Confirmed Attrition'!$G$5:$G$1000)=2026)*('⚫ Confirmed Attrition'!$D$5:$D$1000="Frederic Matthew Carlos Tuting"))</f>
        <v>0</v>
      </c>
      <c r="L321" s="43" t="n">
        <f aca="false">SUMPRODUCT((MONTH('⚫ Confirmed Attrition'!$G$5:$G$1000)=10)*(YEAR('⚫ Confirmed Attrition'!$G$5:$G$1000)=2026)*('⚫ Confirmed Attrition'!$D$5:$D$1000="Frederic Matthew Carlos Tuting"))</f>
        <v>0</v>
      </c>
      <c r="M321" s="43" t="n">
        <f aca="false">SUMPRODUCT((MONTH('⚫ Confirmed Attrition'!$G$5:$G$1000)=11)*(YEAR('⚫ Confirmed Attrition'!$G$5:$G$1000)=2026)*('⚫ Confirmed Attrition'!$D$5:$D$1000="Frederic Matthew Carlos Tuting"))</f>
        <v>0</v>
      </c>
      <c r="N321" s="43" t="n">
        <f aca="false">SUMPRODUCT((MONTH('⚫ Confirmed Attrition'!$G$5:$G$1000)=12)*(YEAR('⚫ Confirmed Attrition'!$G$5:$G$1000)=2026)*('⚫ Confirmed Attrition'!$D$5:$D$1000="Frederic Matthew Carlos Tuting"))</f>
        <v>0</v>
      </c>
    </row>
    <row r="322" customFormat="false" ht="18" hidden="false" customHeight="true" outlineLevel="0" collapsed="false">
      <c r="B322" s="44" t="s">
        <v>85</v>
      </c>
      <c r="C322" s="45" t="n">
        <v>0</v>
      </c>
      <c r="D322" s="45" t="n">
        <v>0</v>
      </c>
      <c r="E322" s="45" t="n">
        <v>0</v>
      </c>
      <c r="F322" s="45" t="n">
        <v>0</v>
      </c>
      <c r="G322" s="45" t="n">
        <v>0</v>
      </c>
      <c r="H322" s="45" t="n">
        <v>0</v>
      </c>
      <c r="I322" s="45" t="n">
        <v>0</v>
      </c>
      <c r="J322" s="45" t="n">
        <v>0</v>
      </c>
      <c r="K322" s="45" t="n">
        <v>0</v>
      </c>
      <c r="L322" s="45" t="n">
        <v>0</v>
      </c>
      <c r="M322" s="45" t="n">
        <v>0</v>
      </c>
      <c r="N322" s="45" t="n">
        <v>0</v>
      </c>
    </row>
    <row r="323" customFormat="false" ht="18" hidden="false" customHeight="true" outlineLevel="0" collapsed="false">
      <c r="B323" s="44" t="s">
        <v>86</v>
      </c>
      <c r="C323" s="45" t="n">
        <v>0</v>
      </c>
      <c r="D323" s="45" t="n">
        <v>0</v>
      </c>
      <c r="E323" s="45" t="n">
        <v>0</v>
      </c>
      <c r="F323" s="45" t="n">
        <v>0</v>
      </c>
      <c r="G323" s="45" t="n">
        <v>0</v>
      </c>
      <c r="H323" s="45" t="n">
        <v>0</v>
      </c>
      <c r="I323" s="45" t="n">
        <v>0</v>
      </c>
      <c r="J323" s="45" t="n">
        <v>0</v>
      </c>
      <c r="K323" s="45" t="n">
        <v>0</v>
      </c>
      <c r="L323" s="45" t="n">
        <v>0</v>
      </c>
      <c r="M323" s="45" t="n">
        <v>0</v>
      </c>
      <c r="N323" s="45" t="n">
        <v>0</v>
      </c>
    </row>
    <row r="324" customFormat="false" ht="18" hidden="false" customHeight="true" outlineLevel="0" collapsed="false">
      <c r="B324" s="44" t="s">
        <v>87</v>
      </c>
      <c r="C324" s="45" t="n">
        <v>0</v>
      </c>
      <c r="D324" s="45" t="n">
        <v>0</v>
      </c>
      <c r="E324" s="45" t="n">
        <v>0</v>
      </c>
      <c r="F324" s="45" t="n">
        <v>0</v>
      </c>
      <c r="G324" s="45" t="n">
        <v>0</v>
      </c>
      <c r="H324" s="45" t="n">
        <v>0</v>
      </c>
      <c r="I324" s="45" t="n">
        <v>0</v>
      </c>
      <c r="J324" s="45" t="n">
        <v>0</v>
      </c>
      <c r="K324" s="45" t="n">
        <v>0</v>
      </c>
      <c r="L324" s="45" t="n">
        <v>0</v>
      </c>
      <c r="M324" s="45" t="n">
        <v>0</v>
      </c>
      <c r="N324" s="45" t="n">
        <v>0</v>
      </c>
    </row>
    <row r="325" customFormat="false" ht="18" hidden="false" customHeight="true" outlineLevel="0" collapsed="false">
      <c r="B325" s="36" t="s">
        <v>88</v>
      </c>
      <c r="C325" s="37" t="n">
        <v>4</v>
      </c>
      <c r="D325" s="37" t="n">
        <v>0</v>
      </c>
      <c r="E325" s="37" t="n">
        <v>0</v>
      </c>
      <c r="F325" s="37" t="n">
        <v>0</v>
      </c>
      <c r="G325" s="37" t="n">
        <v>0</v>
      </c>
      <c r="H325" s="37" t="n">
        <v>0</v>
      </c>
      <c r="I325" s="37" t="n">
        <v>0</v>
      </c>
      <c r="J325" s="37" t="n">
        <v>0</v>
      </c>
      <c r="K325" s="37" t="n">
        <v>0</v>
      </c>
      <c r="L325" s="37" t="n">
        <v>0</v>
      </c>
      <c r="M325" s="37" t="n">
        <v>0</v>
      </c>
      <c r="N325" s="37" t="n">
        <v>0</v>
      </c>
    </row>
    <row r="328" customFormat="false" ht="27.75" hidden="false" customHeight="true" outlineLevel="0" collapsed="false">
      <c r="B328" s="46" t="s">
        <v>107</v>
      </c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</row>
    <row r="329" customFormat="false" ht="3.75" hidden="false" customHeight="true" outlineLevel="0" collapsed="false"/>
    <row r="330" customFormat="false" ht="25.5" hidden="false" customHeight="true" outlineLevel="0" collapsed="false">
      <c r="B330" s="47" t="s">
        <v>30</v>
      </c>
      <c r="C330" s="47" t="s">
        <v>68</v>
      </c>
      <c r="D330" s="47" t="s">
        <v>69</v>
      </c>
      <c r="E330" s="47" t="s">
        <v>70</v>
      </c>
      <c r="F330" s="47" t="s">
        <v>71</v>
      </c>
      <c r="G330" s="47" t="s">
        <v>72</v>
      </c>
      <c r="H330" s="47" t="s">
        <v>73</v>
      </c>
      <c r="I330" s="47" t="s">
        <v>74</v>
      </c>
      <c r="J330" s="47" t="s">
        <v>75</v>
      </c>
      <c r="K330" s="47" t="s">
        <v>76</v>
      </c>
      <c r="L330" s="47" t="s">
        <v>77</v>
      </c>
      <c r="M330" s="47" t="s">
        <v>78</v>
      </c>
      <c r="N330" s="47" t="s">
        <v>79</v>
      </c>
    </row>
    <row r="331" customFormat="false" ht="18" hidden="false" customHeight="true" outlineLevel="0" collapsed="false">
      <c r="B331" s="36" t="s">
        <v>80</v>
      </c>
      <c r="C331" s="37" t="n">
        <v>16</v>
      </c>
      <c r="D331" s="37" t="n">
        <v>0</v>
      </c>
      <c r="E331" s="37" t="n">
        <v>0</v>
      </c>
      <c r="F331" s="37" t="n">
        <v>0</v>
      </c>
      <c r="G331" s="37" t="n">
        <v>0</v>
      </c>
      <c r="H331" s="37" t="n">
        <v>0</v>
      </c>
      <c r="I331" s="37" t="n">
        <v>0</v>
      </c>
      <c r="J331" s="37" t="n">
        <v>0</v>
      </c>
      <c r="K331" s="37" t="n">
        <v>0</v>
      </c>
      <c r="L331" s="37" t="n">
        <v>0</v>
      </c>
      <c r="M331" s="37" t="n">
        <v>0</v>
      </c>
      <c r="N331" s="37" t="n">
        <v>0</v>
      </c>
    </row>
    <row r="332" customFormat="false" ht="18" hidden="false" customHeight="true" outlineLevel="0" collapsed="false">
      <c r="B332" s="38" t="s">
        <v>81</v>
      </c>
      <c r="C332" s="39" t="n">
        <v>0</v>
      </c>
      <c r="D332" s="39" t="n">
        <v>0</v>
      </c>
      <c r="E332" s="39" t="n">
        <v>0</v>
      </c>
      <c r="F332" s="39" t="n">
        <v>0</v>
      </c>
      <c r="G332" s="39" t="n">
        <v>0</v>
      </c>
      <c r="H332" s="39" t="n">
        <v>0</v>
      </c>
      <c r="I332" s="39" t="n">
        <v>0</v>
      </c>
      <c r="J332" s="39" t="n">
        <v>0</v>
      </c>
      <c r="K332" s="39" t="n">
        <v>0</v>
      </c>
      <c r="L332" s="39" t="n">
        <v>0</v>
      </c>
      <c r="M332" s="39" t="n">
        <v>0</v>
      </c>
      <c r="N332" s="39" t="n">
        <v>0</v>
      </c>
    </row>
    <row r="333" customFormat="false" ht="18" hidden="false" customHeight="true" outlineLevel="0" collapsed="false">
      <c r="B333" s="40" t="s">
        <v>82</v>
      </c>
      <c r="C333" s="41" t="n">
        <v>0</v>
      </c>
      <c r="D333" s="41" t="n">
        <v>0</v>
      </c>
      <c r="E333" s="41" t="n">
        <v>0</v>
      </c>
      <c r="F333" s="41" t="n">
        <v>0</v>
      </c>
      <c r="G333" s="41" t="n">
        <v>0</v>
      </c>
      <c r="H333" s="41" t="n">
        <v>0</v>
      </c>
      <c r="I333" s="41" t="n">
        <v>0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n">
        <v>0</v>
      </c>
    </row>
    <row r="334" customFormat="false" ht="18" hidden="false" customHeight="true" outlineLevel="0" collapsed="false">
      <c r="B334" s="38" t="s">
        <v>83</v>
      </c>
      <c r="C334" s="39" t="n">
        <v>0</v>
      </c>
      <c r="D334" s="39" t="n">
        <v>0</v>
      </c>
      <c r="E334" s="39" t="n">
        <v>0</v>
      </c>
      <c r="F334" s="39" t="n">
        <v>0</v>
      </c>
      <c r="G334" s="39" t="n">
        <v>0</v>
      </c>
      <c r="H334" s="39" t="n">
        <v>0</v>
      </c>
      <c r="I334" s="39" t="n">
        <v>0</v>
      </c>
      <c r="J334" s="39" t="n">
        <v>0</v>
      </c>
      <c r="K334" s="39" t="n">
        <v>0</v>
      </c>
      <c r="L334" s="39" t="n">
        <v>0</v>
      </c>
      <c r="M334" s="39" t="n">
        <v>0</v>
      </c>
      <c r="N334" s="39" t="n">
        <v>0</v>
      </c>
    </row>
    <row r="335" customFormat="false" ht="18" hidden="false" customHeight="true" outlineLevel="0" collapsed="false">
      <c r="B335" s="42" t="s">
        <v>84</v>
      </c>
      <c r="C335" s="43" t="n">
        <f aca="false">SUMPRODUCT((MONTH('⚫ Confirmed Attrition'!$G$5:$G$1000)=1)*(YEAR('⚫ Confirmed Attrition'!$G$5:$G$1000)=2026)*('⚫ Confirmed Attrition'!$D$5:$D$1000="Gay Olid Lobrin"))</f>
        <v>0</v>
      </c>
      <c r="D335" s="43" t="n">
        <f aca="false">SUMPRODUCT((MONTH('⚫ Confirmed Attrition'!$G$5:$G$1000)=2)*(YEAR('⚫ Confirmed Attrition'!$G$5:$G$1000)=2026)*('⚫ Confirmed Attrition'!$D$5:$D$1000="Gay Olid Lobrin"))</f>
        <v>0</v>
      </c>
      <c r="E335" s="43" t="n">
        <f aca="false">SUMPRODUCT((MONTH('⚫ Confirmed Attrition'!$G$5:$G$1000)=3)*(YEAR('⚫ Confirmed Attrition'!$G$5:$G$1000)=2026)*('⚫ Confirmed Attrition'!$D$5:$D$1000="Gay Olid Lobrin"))</f>
        <v>0</v>
      </c>
      <c r="F335" s="43" t="n">
        <f aca="false">SUMPRODUCT((MONTH('⚫ Confirmed Attrition'!$G$5:$G$1000)=4)*(YEAR('⚫ Confirmed Attrition'!$G$5:$G$1000)=2026)*('⚫ Confirmed Attrition'!$D$5:$D$1000="Gay Olid Lobrin"))</f>
        <v>0</v>
      </c>
      <c r="G335" s="43" t="n">
        <f aca="false">SUMPRODUCT((MONTH('⚫ Confirmed Attrition'!$G$5:$G$1000)=5)*(YEAR('⚫ Confirmed Attrition'!$G$5:$G$1000)=2026)*('⚫ Confirmed Attrition'!$D$5:$D$1000="Gay Olid Lobrin"))</f>
        <v>0</v>
      </c>
      <c r="H335" s="43" t="n">
        <f aca="false">SUMPRODUCT((MONTH('⚫ Confirmed Attrition'!$G$5:$G$1000)=6)*(YEAR('⚫ Confirmed Attrition'!$G$5:$G$1000)=2026)*('⚫ Confirmed Attrition'!$D$5:$D$1000="Gay Olid Lobrin"))</f>
        <v>0</v>
      </c>
      <c r="I335" s="43" t="n">
        <f aca="false">SUMPRODUCT((MONTH('⚫ Confirmed Attrition'!$G$5:$G$1000)=7)*(YEAR('⚫ Confirmed Attrition'!$G$5:$G$1000)=2026)*('⚫ Confirmed Attrition'!$D$5:$D$1000="Gay Olid Lobrin"))</f>
        <v>0</v>
      </c>
      <c r="J335" s="43" t="n">
        <f aca="false">SUMPRODUCT((MONTH('⚫ Confirmed Attrition'!$G$5:$G$1000)=8)*(YEAR('⚫ Confirmed Attrition'!$G$5:$G$1000)=2026)*('⚫ Confirmed Attrition'!$D$5:$D$1000="Gay Olid Lobrin"))</f>
        <v>0</v>
      </c>
      <c r="K335" s="43" t="n">
        <f aca="false">SUMPRODUCT((MONTH('⚫ Confirmed Attrition'!$G$5:$G$1000)=9)*(YEAR('⚫ Confirmed Attrition'!$G$5:$G$1000)=2026)*('⚫ Confirmed Attrition'!$D$5:$D$1000="Gay Olid Lobrin"))</f>
        <v>0</v>
      </c>
      <c r="L335" s="43" t="n">
        <f aca="false">SUMPRODUCT((MONTH('⚫ Confirmed Attrition'!$G$5:$G$1000)=10)*(YEAR('⚫ Confirmed Attrition'!$G$5:$G$1000)=2026)*('⚫ Confirmed Attrition'!$D$5:$D$1000="Gay Olid Lobrin"))</f>
        <v>0</v>
      </c>
      <c r="M335" s="43" t="n">
        <f aca="false">SUMPRODUCT((MONTH('⚫ Confirmed Attrition'!$G$5:$G$1000)=11)*(YEAR('⚫ Confirmed Attrition'!$G$5:$G$1000)=2026)*('⚫ Confirmed Attrition'!$D$5:$D$1000="Gay Olid Lobrin"))</f>
        <v>0</v>
      </c>
      <c r="N335" s="43" t="n">
        <f aca="false">SUMPRODUCT((MONTH('⚫ Confirmed Attrition'!$G$5:$G$1000)=12)*(YEAR('⚫ Confirmed Attrition'!$G$5:$G$1000)=2026)*('⚫ Confirmed Attrition'!$D$5:$D$1000="Gay Olid Lobrin"))</f>
        <v>0</v>
      </c>
    </row>
    <row r="336" customFormat="false" ht="18" hidden="false" customHeight="true" outlineLevel="0" collapsed="false">
      <c r="B336" s="44" t="s">
        <v>85</v>
      </c>
      <c r="C336" s="45" t="n">
        <v>0</v>
      </c>
      <c r="D336" s="45" t="n">
        <v>0</v>
      </c>
      <c r="E336" s="45" t="n">
        <v>0</v>
      </c>
      <c r="F336" s="45" t="n">
        <v>0</v>
      </c>
      <c r="G336" s="45" t="n">
        <v>0</v>
      </c>
      <c r="H336" s="45" t="n">
        <v>0</v>
      </c>
      <c r="I336" s="45" t="n">
        <v>0</v>
      </c>
      <c r="J336" s="45" t="n">
        <v>0</v>
      </c>
      <c r="K336" s="45" t="n">
        <v>0</v>
      </c>
      <c r="L336" s="45" t="n">
        <v>0</v>
      </c>
      <c r="M336" s="45" t="n">
        <v>0</v>
      </c>
      <c r="N336" s="45" t="n">
        <v>0</v>
      </c>
    </row>
    <row r="337" customFormat="false" ht="18" hidden="false" customHeight="true" outlineLevel="0" collapsed="false">
      <c r="B337" s="44" t="s">
        <v>86</v>
      </c>
      <c r="C337" s="45" t="n">
        <v>0</v>
      </c>
      <c r="D337" s="45" t="n">
        <v>0</v>
      </c>
      <c r="E337" s="45" t="n">
        <v>0</v>
      </c>
      <c r="F337" s="45" t="n">
        <v>0</v>
      </c>
      <c r="G337" s="45" t="n">
        <v>0</v>
      </c>
      <c r="H337" s="45" t="n">
        <v>0</v>
      </c>
      <c r="I337" s="45" t="n">
        <v>0</v>
      </c>
      <c r="J337" s="45" t="n">
        <v>0</v>
      </c>
      <c r="K337" s="45" t="n">
        <v>0</v>
      </c>
      <c r="L337" s="45" t="n">
        <v>0</v>
      </c>
      <c r="M337" s="45" t="n">
        <v>0</v>
      </c>
      <c r="N337" s="45" t="n">
        <v>0</v>
      </c>
    </row>
    <row r="338" customFormat="false" ht="18" hidden="false" customHeight="true" outlineLevel="0" collapsed="false">
      <c r="B338" s="44" t="s">
        <v>87</v>
      </c>
      <c r="C338" s="45" t="n">
        <v>0</v>
      </c>
      <c r="D338" s="45" t="n">
        <v>0</v>
      </c>
      <c r="E338" s="45" t="n">
        <v>0</v>
      </c>
      <c r="F338" s="45" t="n">
        <v>0</v>
      </c>
      <c r="G338" s="45" t="n">
        <v>0</v>
      </c>
      <c r="H338" s="45" t="n">
        <v>0</v>
      </c>
      <c r="I338" s="45" t="n">
        <v>0</v>
      </c>
      <c r="J338" s="45" t="n">
        <v>0</v>
      </c>
      <c r="K338" s="45" t="n">
        <v>0</v>
      </c>
      <c r="L338" s="45" t="n">
        <v>0</v>
      </c>
      <c r="M338" s="45" t="n">
        <v>0</v>
      </c>
      <c r="N338" s="45" t="n">
        <v>0</v>
      </c>
    </row>
    <row r="339" customFormat="false" ht="18" hidden="false" customHeight="true" outlineLevel="0" collapsed="false">
      <c r="B339" s="36" t="s">
        <v>88</v>
      </c>
      <c r="C339" s="37" t="n">
        <v>16</v>
      </c>
      <c r="D339" s="37" t="n">
        <v>0</v>
      </c>
      <c r="E339" s="37" t="n">
        <v>0</v>
      </c>
      <c r="F339" s="37" t="n">
        <v>0</v>
      </c>
      <c r="G339" s="37" t="n">
        <v>0</v>
      </c>
      <c r="H339" s="37" t="n">
        <v>0</v>
      </c>
      <c r="I339" s="37" t="n">
        <v>0</v>
      </c>
      <c r="J339" s="37" t="n">
        <v>0</v>
      </c>
      <c r="K339" s="37" t="n">
        <v>0</v>
      </c>
      <c r="L339" s="37" t="n">
        <v>0</v>
      </c>
      <c r="M339" s="37" t="n">
        <v>0</v>
      </c>
      <c r="N339" s="37" t="n">
        <v>0</v>
      </c>
    </row>
    <row r="342" customFormat="false" ht="27.75" hidden="false" customHeight="true" outlineLevel="0" collapsed="false">
      <c r="B342" s="46" t="s">
        <v>108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</row>
    <row r="343" customFormat="false" ht="3.75" hidden="false" customHeight="true" outlineLevel="0" collapsed="false"/>
    <row r="344" customFormat="false" ht="25.5" hidden="false" customHeight="true" outlineLevel="0" collapsed="false">
      <c r="B344" s="47" t="s">
        <v>31</v>
      </c>
      <c r="C344" s="47" t="s">
        <v>68</v>
      </c>
      <c r="D344" s="47" t="s">
        <v>69</v>
      </c>
      <c r="E344" s="47" t="s">
        <v>70</v>
      </c>
      <c r="F344" s="47" t="s">
        <v>71</v>
      </c>
      <c r="G344" s="47" t="s">
        <v>72</v>
      </c>
      <c r="H344" s="47" t="s">
        <v>73</v>
      </c>
      <c r="I344" s="47" t="s">
        <v>74</v>
      </c>
      <c r="J344" s="47" t="s">
        <v>75</v>
      </c>
      <c r="K344" s="47" t="s">
        <v>76</v>
      </c>
      <c r="L344" s="47" t="s">
        <v>77</v>
      </c>
      <c r="M344" s="47" t="s">
        <v>78</v>
      </c>
      <c r="N344" s="47" t="s">
        <v>79</v>
      </c>
    </row>
    <row r="345" customFormat="false" ht="18" hidden="false" customHeight="true" outlineLevel="0" collapsed="false">
      <c r="B345" s="36" t="s">
        <v>80</v>
      </c>
      <c r="C345" s="37" t="n">
        <v>14</v>
      </c>
      <c r="D345" s="37" t="n">
        <v>0</v>
      </c>
      <c r="E345" s="37" t="n">
        <v>0</v>
      </c>
      <c r="F345" s="37" t="n">
        <v>0</v>
      </c>
      <c r="G345" s="37" t="n">
        <v>0</v>
      </c>
      <c r="H345" s="37" t="n">
        <v>0</v>
      </c>
      <c r="I345" s="37" t="n">
        <v>0</v>
      </c>
      <c r="J345" s="37" t="n">
        <v>0</v>
      </c>
      <c r="K345" s="37" t="n">
        <v>0</v>
      </c>
      <c r="L345" s="37" t="n">
        <v>0</v>
      </c>
      <c r="M345" s="37" t="n">
        <v>0</v>
      </c>
      <c r="N345" s="37" t="n">
        <v>0</v>
      </c>
    </row>
    <row r="346" customFormat="false" ht="18" hidden="false" customHeight="true" outlineLevel="0" collapsed="false">
      <c r="B346" s="38" t="s">
        <v>81</v>
      </c>
      <c r="C346" s="39" t="n">
        <v>0</v>
      </c>
      <c r="D346" s="39" t="n">
        <v>0</v>
      </c>
      <c r="E346" s="39" t="n">
        <v>0</v>
      </c>
      <c r="F346" s="39" t="n">
        <v>0</v>
      </c>
      <c r="G346" s="39" t="n">
        <v>0</v>
      </c>
      <c r="H346" s="39" t="n">
        <v>0</v>
      </c>
      <c r="I346" s="39" t="n">
        <v>0</v>
      </c>
      <c r="J346" s="39" t="n">
        <v>0</v>
      </c>
      <c r="K346" s="39" t="n">
        <v>0</v>
      </c>
      <c r="L346" s="39" t="n">
        <v>0</v>
      </c>
      <c r="M346" s="39" t="n">
        <v>0</v>
      </c>
      <c r="N346" s="39" t="n">
        <v>0</v>
      </c>
    </row>
    <row r="347" customFormat="false" ht="18" hidden="false" customHeight="true" outlineLevel="0" collapsed="false">
      <c r="B347" s="40" t="s">
        <v>82</v>
      </c>
      <c r="C347" s="41" t="n">
        <v>0</v>
      </c>
      <c r="D347" s="41" t="n">
        <v>0</v>
      </c>
      <c r="E347" s="41" t="n">
        <v>0</v>
      </c>
      <c r="F347" s="41" t="n">
        <v>0</v>
      </c>
      <c r="G347" s="41" t="n">
        <v>0</v>
      </c>
      <c r="H347" s="41" t="n">
        <v>0</v>
      </c>
      <c r="I347" s="41" t="n">
        <v>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n">
        <v>0</v>
      </c>
    </row>
    <row r="348" customFormat="false" ht="18" hidden="false" customHeight="true" outlineLevel="0" collapsed="false">
      <c r="B348" s="38" t="s">
        <v>83</v>
      </c>
      <c r="C348" s="39" t="n">
        <v>0</v>
      </c>
      <c r="D348" s="39" t="n">
        <v>0</v>
      </c>
      <c r="E348" s="39" t="n">
        <v>0</v>
      </c>
      <c r="F348" s="39" t="n">
        <v>0</v>
      </c>
      <c r="G348" s="39" t="n">
        <v>0</v>
      </c>
      <c r="H348" s="39" t="n">
        <v>0</v>
      </c>
      <c r="I348" s="39" t="n">
        <v>0</v>
      </c>
      <c r="J348" s="39" t="n">
        <v>0</v>
      </c>
      <c r="K348" s="39" t="n">
        <v>0</v>
      </c>
      <c r="L348" s="39" t="n">
        <v>0</v>
      </c>
      <c r="M348" s="39" t="n">
        <v>0</v>
      </c>
      <c r="N348" s="39" t="n">
        <v>0</v>
      </c>
    </row>
    <row r="349" customFormat="false" ht="18" hidden="false" customHeight="true" outlineLevel="0" collapsed="false">
      <c r="B349" s="42" t="s">
        <v>84</v>
      </c>
      <c r="C349" s="43" t="n">
        <f aca="false">SUMPRODUCT((MONTH('⚫ Confirmed Attrition'!$G$5:$G$1000)=1)*(YEAR('⚫ Confirmed Attrition'!$G$5:$G$1000)=2026)*('⚫ Confirmed Attrition'!$D$5:$D$1000="Hector Ramiro Laboy- Lebron"))</f>
        <v>0</v>
      </c>
      <c r="D349" s="43" t="n">
        <f aca="false">SUMPRODUCT((MONTH('⚫ Confirmed Attrition'!$G$5:$G$1000)=2)*(YEAR('⚫ Confirmed Attrition'!$G$5:$G$1000)=2026)*('⚫ Confirmed Attrition'!$D$5:$D$1000="Hector Ramiro Laboy- Lebron"))</f>
        <v>0</v>
      </c>
      <c r="E349" s="43" t="n">
        <f aca="false">SUMPRODUCT((MONTH('⚫ Confirmed Attrition'!$G$5:$G$1000)=3)*(YEAR('⚫ Confirmed Attrition'!$G$5:$G$1000)=2026)*('⚫ Confirmed Attrition'!$D$5:$D$1000="Hector Ramiro Laboy- Lebron"))</f>
        <v>0</v>
      </c>
      <c r="F349" s="43" t="n">
        <f aca="false">SUMPRODUCT((MONTH('⚫ Confirmed Attrition'!$G$5:$G$1000)=4)*(YEAR('⚫ Confirmed Attrition'!$G$5:$G$1000)=2026)*('⚫ Confirmed Attrition'!$D$5:$D$1000="Hector Ramiro Laboy- Lebron"))</f>
        <v>0</v>
      </c>
      <c r="G349" s="43" t="n">
        <f aca="false">SUMPRODUCT((MONTH('⚫ Confirmed Attrition'!$G$5:$G$1000)=5)*(YEAR('⚫ Confirmed Attrition'!$G$5:$G$1000)=2026)*('⚫ Confirmed Attrition'!$D$5:$D$1000="Hector Ramiro Laboy- Lebron"))</f>
        <v>0</v>
      </c>
      <c r="H349" s="43" t="n">
        <f aca="false">SUMPRODUCT((MONTH('⚫ Confirmed Attrition'!$G$5:$G$1000)=6)*(YEAR('⚫ Confirmed Attrition'!$G$5:$G$1000)=2026)*('⚫ Confirmed Attrition'!$D$5:$D$1000="Hector Ramiro Laboy- Lebron"))</f>
        <v>0</v>
      </c>
      <c r="I349" s="43" t="n">
        <f aca="false">SUMPRODUCT((MONTH('⚫ Confirmed Attrition'!$G$5:$G$1000)=7)*(YEAR('⚫ Confirmed Attrition'!$G$5:$G$1000)=2026)*('⚫ Confirmed Attrition'!$D$5:$D$1000="Hector Ramiro Laboy- Lebron"))</f>
        <v>0</v>
      </c>
      <c r="J349" s="43" t="n">
        <f aca="false">SUMPRODUCT((MONTH('⚫ Confirmed Attrition'!$G$5:$G$1000)=8)*(YEAR('⚫ Confirmed Attrition'!$G$5:$G$1000)=2026)*('⚫ Confirmed Attrition'!$D$5:$D$1000="Hector Ramiro Laboy- Lebron"))</f>
        <v>0</v>
      </c>
      <c r="K349" s="43" t="n">
        <f aca="false">SUMPRODUCT((MONTH('⚫ Confirmed Attrition'!$G$5:$G$1000)=9)*(YEAR('⚫ Confirmed Attrition'!$G$5:$G$1000)=2026)*('⚫ Confirmed Attrition'!$D$5:$D$1000="Hector Ramiro Laboy- Lebron"))</f>
        <v>0</v>
      </c>
      <c r="L349" s="43" t="n">
        <f aca="false">SUMPRODUCT((MONTH('⚫ Confirmed Attrition'!$G$5:$G$1000)=10)*(YEAR('⚫ Confirmed Attrition'!$G$5:$G$1000)=2026)*('⚫ Confirmed Attrition'!$D$5:$D$1000="Hector Ramiro Laboy- Lebron"))</f>
        <v>0</v>
      </c>
      <c r="M349" s="43" t="n">
        <f aca="false">SUMPRODUCT((MONTH('⚫ Confirmed Attrition'!$G$5:$G$1000)=11)*(YEAR('⚫ Confirmed Attrition'!$G$5:$G$1000)=2026)*('⚫ Confirmed Attrition'!$D$5:$D$1000="Hector Ramiro Laboy- Lebron"))</f>
        <v>0</v>
      </c>
      <c r="N349" s="43" t="n">
        <f aca="false">SUMPRODUCT((MONTH('⚫ Confirmed Attrition'!$G$5:$G$1000)=12)*(YEAR('⚫ Confirmed Attrition'!$G$5:$G$1000)=2026)*('⚫ Confirmed Attrition'!$D$5:$D$1000="Hector Ramiro Laboy- Lebron"))</f>
        <v>0</v>
      </c>
    </row>
    <row r="350" customFormat="false" ht="18" hidden="false" customHeight="true" outlineLevel="0" collapsed="false">
      <c r="B350" s="44" t="s">
        <v>85</v>
      </c>
      <c r="C350" s="45" t="n">
        <v>0</v>
      </c>
      <c r="D350" s="45" t="n">
        <v>0</v>
      </c>
      <c r="E350" s="45" t="n">
        <v>0</v>
      </c>
      <c r="F350" s="45" t="n">
        <v>0</v>
      </c>
      <c r="G350" s="45" t="n">
        <v>0</v>
      </c>
      <c r="H350" s="45" t="n">
        <v>0</v>
      </c>
      <c r="I350" s="45" t="n">
        <v>0</v>
      </c>
      <c r="J350" s="45" t="n">
        <v>0</v>
      </c>
      <c r="K350" s="45" t="n">
        <v>0</v>
      </c>
      <c r="L350" s="45" t="n">
        <v>0</v>
      </c>
      <c r="M350" s="45" t="n">
        <v>0</v>
      </c>
      <c r="N350" s="45" t="n">
        <v>0</v>
      </c>
    </row>
    <row r="351" customFormat="false" ht="18" hidden="false" customHeight="true" outlineLevel="0" collapsed="false">
      <c r="B351" s="44" t="s">
        <v>86</v>
      </c>
      <c r="C351" s="45" t="n">
        <v>0</v>
      </c>
      <c r="D351" s="45" t="n">
        <v>0</v>
      </c>
      <c r="E351" s="45" t="n">
        <v>0</v>
      </c>
      <c r="F351" s="45" t="n">
        <v>0</v>
      </c>
      <c r="G351" s="45" t="n">
        <v>0</v>
      </c>
      <c r="H351" s="45" t="n">
        <v>0</v>
      </c>
      <c r="I351" s="45" t="n">
        <v>0</v>
      </c>
      <c r="J351" s="45" t="n">
        <v>0</v>
      </c>
      <c r="K351" s="45" t="n">
        <v>0</v>
      </c>
      <c r="L351" s="45" t="n">
        <v>0</v>
      </c>
      <c r="M351" s="45" t="n">
        <v>0</v>
      </c>
      <c r="N351" s="45" t="n">
        <v>0</v>
      </c>
    </row>
    <row r="352" customFormat="false" ht="18" hidden="false" customHeight="true" outlineLevel="0" collapsed="false">
      <c r="B352" s="44" t="s">
        <v>87</v>
      </c>
      <c r="C352" s="45" t="n">
        <v>0</v>
      </c>
      <c r="D352" s="45" t="n">
        <v>0</v>
      </c>
      <c r="E352" s="45" t="n">
        <v>0</v>
      </c>
      <c r="F352" s="45" t="n">
        <v>0</v>
      </c>
      <c r="G352" s="45" t="n">
        <v>0</v>
      </c>
      <c r="H352" s="45" t="n">
        <v>0</v>
      </c>
      <c r="I352" s="45" t="n">
        <v>0</v>
      </c>
      <c r="J352" s="45" t="n">
        <v>0</v>
      </c>
      <c r="K352" s="45" t="n">
        <v>0</v>
      </c>
      <c r="L352" s="45" t="n">
        <v>0</v>
      </c>
      <c r="M352" s="45" t="n">
        <v>0</v>
      </c>
      <c r="N352" s="45" t="n">
        <v>0</v>
      </c>
    </row>
    <row r="353" customFormat="false" ht="18" hidden="false" customHeight="true" outlineLevel="0" collapsed="false">
      <c r="B353" s="36" t="s">
        <v>88</v>
      </c>
      <c r="C353" s="37" t="n">
        <v>14</v>
      </c>
      <c r="D353" s="37" t="n">
        <v>0</v>
      </c>
      <c r="E353" s="37" t="n">
        <v>0</v>
      </c>
      <c r="F353" s="37" t="n">
        <v>0</v>
      </c>
      <c r="G353" s="37" t="n">
        <v>0</v>
      </c>
      <c r="H353" s="37" t="n">
        <v>0</v>
      </c>
      <c r="I353" s="37" t="n">
        <v>0</v>
      </c>
      <c r="J353" s="37" t="n">
        <v>0</v>
      </c>
      <c r="K353" s="37" t="n">
        <v>0</v>
      </c>
      <c r="L353" s="37" t="n">
        <v>0</v>
      </c>
      <c r="M353" s="37" t="n">
        <v>0</v>
      </c>
      <c r="N353" s="37" t="n">
        <v>0</v>
      </c>
    </row>
    <row r="356" customFormat="false" ht="27.75" hidden="false" customHeight="true" outlineLevel="0" collapsed="false">
      <c r="B356" s="46" t="s">
        <v>109</v>
      </c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</row>
    <row r="357" customFormat="false" ht="3.75" hidden="false" customHeight="true" outlineLevel="0" collapsed="false"/>
    <row r="358" customFormat="false" ht="25.5" hidden="false" customHeight="true" outlineLevel="0" collapsed="false">
      <c r="B358" s="47" t="s">
        <v>32</v>
      </c>
      <c r="C358" s="47" t="s">
        <v>68</v>
      </c>
      <c r="D358" s="47" t="s">
        <v>69</v>
      </c>
      <c r="E358" s="47" t="s">
        <v>70</v>
      </c>
      <c r="F358" s="47" t="s">
        <v>71</v>
      </c>
      <c r="G358" s="47" t="s">
        <v>72</v>
      </c>
      <c r="H358" s="47" t="s">
        <v>73</v>
      </c>
      <c r="I358" s="47" t="s">
        <v>74</v>
      </c>
      <c r="J358" s="47" t="s">
        <v>75</v>
      </c>
      <c r="K358" s="47" t="s">
        <v>76</v>
      </c>
      <c r="L358" s="47" t="s">
        <v>77</v>
      </c>
      <c r="M358" s="47" t="s">
        <v>78</v>
      </c>
      <c r="N358" s="47" t="s">
        <v>79</v>
      </c>
    </row>
    <row r="359" customFormat="false" ht="18" hidden="false" customHeight="true" outlineLevel="0" collapsed="false">
      <c r="B359" s="36" t="s">
        <v>80</v>
      </c>
      <c r="C359" s="37" t="n">
        <v>6</v>
      </c>
      <c r="D359" s="37" t="n">
        <v>0</v>
      </c>
      <c r="E359" s="37" t="n">
        <v>0</v>
      </c>
      <c r="F359" s="37" t="n">
        <v>0</v>
      </c>
      <c r="G359" s="37" t="n">
        <v>0</v>
      </c>
      <c r="H359" s="37" t="n">
        <v>0</v>
      </c>
      <c r="I359" s="37" t="n">
        <v>0</v>
      </c>
      <c r="J359" s="37" t="n">
        <v>0</v>
      </c>
      <c r="K359" s="37" t="n">
        <v>0</v>
      </c>
      <c r="L359" s="37" t="n">
        <v>0</v>
      </c>
      <c r="M359" s="37" t="n">
        <v>0</v>
      </c>
      <c r="N359" s="37" t="n">
        <v>0</v>
      </c>
    </row>
    <row r="360" customFormat="false" ht="18" hidden="false" customHeight="true" outlineLevel="0" collapsed="false">
      <c r="B360" s="38" t="s">
        <v>81</v>
      </c>
      <c r="C360" s="39" t="n">
        <v>0</v>
      </c>
      <c r="D360" s="39" t="n">
        <v>0</v>
      </c>
      <c r="E360" s="39" t="n">
        <v>0</v>
      </c>
      <c r="F360" s="39" t="n">
        <v>0</v>
      </c>
      <c r="G360" s="39" t="n">
        <v>0</v>
      </c>
      <c r="H360" s="39" t="n">
        <v>0</v>
      </c>
      <c r="I360" s="39" t="n">
        <v>0</v>
      </c>
      <c r="J360" s="39" t="n">
        <v>0</v>
      </c>
      <c r="K360" s="39" t="n">
        <v>0</v>
      </c>
      <c r="L360" s="39" t="n">
        <v>0</v>
      </c>
      <c r="M360" s="39" t="n">
        <v>0</v>
      </c>
      <c r="N360" s="39" t="n">
        <v>0</v>
      </c>
    </row>
    <row r="361" customFormat="false" ht="18" hidden="false" customHeight="true" outlineLevel="0" collapsed="false">
      <c r="B361" s="40" t="s">
        <v>82</v>
      </c>
      <c r="C361" s="41" t="n">
        <v>0</v>
      </c>
      <c r="D361" s="41" t="n">
        <v>0</v>
      </c>
      <c r="E361" s="41" t="n">
        <v>0</v>
      </c>
      <c r="F361" s="41" t="n">
        <v>0</v>
      </c>
      <c r="G361" s="41" t="n">
        <v>0</v>
      </c>
      <c r="H361" s="41" t="n">
        <v>0</v>
      </c>
      <c r="I361" s="41" t="n">
        <v>0</v>
      </c>
      <c r="J361" s="41" t="n">
        <v>0</v>
      </c>
      <c r="K361" s="41" t="n">
        <v>0</v>
      </c>
      <c r="L361" s="41" t="n">
        <v>0</v>
      </c>
      <c r="M361" s="41" t="n">
        <v>0</v>
      </c>
      <c r="N361" s="41" t="n">
        <v>0</v>
      </c>
    </row>
    <row r="362" customFormat="false" ht="18" hidden="false" customHeight="true" outlineLevel="0" collapsed="false">
      <c r="B362" s="38" t="s">
        <v>83</v>
      </c>
      <c r="C362" s="39" t="n">
        <v>0</v>
      </c>
      <c r="D362" s="39" t="n">
        <v>0</v>
      </c>
      <c r="E362" s="39" t="n">
        <v>0</v>
      </c>
      <c r="F362" s="39" t="n">
        <v>0</v>
      </c>
      <c r="G362" s="39" t="n">
        <v>0</v>
      </c>
      <c r="H362" s="39" t="n">
        <v>0</v>
      </c>
      <c r="I362" s="39" t="n">
        <v>0</v>
      </c>
      <c r="J362" s="39" t="n">
        <v>0</v>
      </c>
      <c r="K362" s="39" t="n">
        <v>0</v>
      </c>
      <c r="L362" s="39" t="n">
        <v>0</v>
      </c>
      <c r="M362" s="39" t="n">
        <v>0</v>
      </c>
      <c r="N362" s="39" t="n">
        <v>0</v>
      </c>
    </row>
    <row r="363" customFormat="false" ht="18" hidden="false" customHeight="true" outlineLevel="0" collapsed="false">
      <c r="B363" s="42" t="s">
        <v>84</v>
      </c>
      <c r="C363" s="43" t="n">
        <f aca="false">SUMPRODUCT((MONTH('⚫ Confirmed Attrition'!$G$5:$G$1000)=1)*(YEAR('⚫ Confirmed Attrition'!$G$5:$G$1000)=2026)*('⚫ Confirmed Attrition'!$D$5:$D$1000="Janice Carbonilla Rudila"))</f>
        <v>0</v>
      </c>
      <c r="D363" s="43" t="n">
        <f aca="false">SUMPRODUCT((MONTH('⚫ Confirmed Attrition'!$G$5:$G$1000)=2)*(YEAR('⚫ Confirmed Attrition'!$G$5:$G$1000)=2026)*('⚫ Confirmed Attrition'!$D$5:$D$1000="Janice Carbonilla Rudila"))</f>
        <v>0</v>
      </c>
      <c r="E363" s="43" t="n">
        <f aca="false">SUMPRODUCT((MONTH('⚫ Confirmed Attrition'!$G$5:$G$1000)=3)*(YEAR('⚫ Confirmed Attrition'!$G$5:$G$1000)=2026)*('⚫ Confirmed Attrition'!$D$5:$D$1000="Janice Carbonilla Rudila"))</f>
        <v>0</v>
      </c>
      <c r="F363" s="43" t="n">
        <f aca="false">SUMPRODUCT((MONTH('⚫ Confirmed Attrition'!$G$5:$G$1000)=4)*(YEAR('⚫ Confirmed Attrition'!$G$5:$G$1000)=2026)*('⚫ Confirmed Attrition'!$D$5:$D$1000="Janice Carbonilla Rudila"))</f>
        <v>0</v>
      </c>
      <c r="G363" s="43" t="n">
        <f aca="false">SUMPRODUCT((MONTH('⚫ Confirmed Attrition'!$G$5:$G$1000)=5)*(YEAR('⚫ Confirmed Attrition'!$G$5:$G$1000)=2026)*('⚫ Confirmed Attrition'!$D$5:$D$1000="Janice Carbonilla Rudila"))</f>
        <v>0</v>
      </c>
      <c r="H363" s="43" t="n">
        <f aca="false">SUMPRODUCT((MONTH('⚫ Confirmed Attrition'!$G$5:$G$1000)=6)*(YEAR('⚫ Confirmed Attrition'!$G$5:$G$1000)=2026)*('⚫ Confirmed Attrition'!$D$5:$D$1000="Janice Carbonilla Rudila"))</f>
        <v>0</v>
      </c>
      <c r="I363" s="43" t="n">
        <f aca="false">SUMPRODUCT((MONTH('⚫ Confirmed Attrition'!$G$5:$G$1000)=7)*(YEAR('⚫ Confirmed Attrition'!$G$5:$G$1000)=2026)*('⚫ Confirmed Attrition'!$D$5:$D$1000="Janice Carbonilla Rudila"))</f>
        <v>0</v>
      </c>
      <c r="J363" s="43" t="n">
        <f aca="false">SUMPRODUCT((MONTH('⚫ Confirmed Attrition'!$G$5:$G$1000)=8)*(YEAR('⚫ Confirmed Attrition'!$G$5:$G$1000)=2026)*('⚫ Confirmed Attrition'!$D$5:$D$1000="Janice Carbonilla Rudila"))</f>
        <v>0</v>
      </c>
      <c r="K363" s="43" t="n">
        <f aca="false">SUMPRODUCT((MONTH('⚫ Confirmed Attrition'!$G$5:$G$1000)=9)*(YEAR('⚫ Confirmed Attrition'!$G$5:$G$1000)=2026)*('⚫ Confirmed Attrition'!$D$5:$D$1000="Janice Carbonilla Rudila"))</f>
        <v>0</v>
      </c>
      <c r="L363" s="43" t="n">
        <f aca="false">SUMPRODUCT((MONTH('⚫ Confirmed Attrition'!$G$5:$G$1000)=10)*(YEAR('⚫ Confirmed Attrition'!$G$5:$G$1000)=2026)*('⚫ Confirmed Attrition'!$D$5:$D$1000="Janice Carbonilla Rudila"))</f>
        <v>0</v>
      </c>
      <c r="M363" s="43" t="n">
        <f aca="false">SUMPRODUCT((MONTH('⚫ Confirmed Attrition'!$G$5:$G$1000)=11)*(YEAR('⚫ Confirmed Attrition'!$G$5:$G$1000)=2026)*('⚫ Confirmed Attrition'!$D$5:$D$1000="Janice Carbonilla Rudila"))</f>
        <v>0</v>
      </c>
      <c r="N363" s="43" t="n">
        <f aca="false">SUMPRODUCT((MONTH('⚫ Confirmed Attrition'!$G$5:$G$1000)=12)*(YEAR('⚫ Confirmed Attrition'!$G$5:$G$1000)=2026)*('⚫ Confirmed Attrition'!$D$5:$D$1000="Janice Carbonilla Rudila"))</f>
        <v>0</v>
      </c>
    </row>
    <row r="364" customFormat="false" ht="18" hidden="false" customHeight="true" outlineLevel="0" collapsed="false">
      <c r="B364" s="44" t="s">
        <v>85</v>
      </c>
      <c r="C364" s="45" t="n">
        <v>0</v>
      </c>
      <c r="D364" s="45" t="n">
        <v>0</v>
      </c>
      <c r="E364" s="45" t="n">
        <v>0</v>
      </c>
      <c r="F364" s="45" t="n">
        <v>0</v>
      </c>
      <c r="G364" s="45" t="n">
        <v>0</v>
      </c>
      <c r="H364" s="45" t="n">
        <v>0</v>
      </c>
      <c r="I364" s="45" t="n">
        <v>0</v>
      </c>
      <c r="J364" s="45" t="n">
        <v>0</v>
      </c>
      <c r="K364" s="45" t="n">
        <v>0</v>
      </c>
      <c r="L364" s="45" t="n">
        <v>0</v>
      </c>
      <c r="M364" s="45" t="n">
        <v>0</v>
      </c>
      <c r="N364" s="45" t="n">
        <v>0</v>
      </c>
    </row>
    <row r="365" customFormat="false" ht="18" hidden="false" customHeight="true" outlineLevel="0" collapsed="false">
      <c r="B365" s="44" t="s">
        <v>86</v>
      </c>
      <c r="C365" s="45" t="n">
        <v>0</v>
      </c>
      <c r="D365" s="45" t="n">
        <v>0</v>
      </c>
      <c r="E365" s="45" t="n">
        <v>0</v>
      </c>
      <c r="F365" s="45" t="n">
        <v>0</v>
      </c>
      <c r="G365" s="45" t="n">
        <v>0</v>
      </c>
      <c r="H365" s="45" t="n">
        <v>0</v>
      </c>
      <c r="I365" s="45" t="n">
        <v>0</v>
      </c>
      <c r="J365" s="45" t="n">
        <v>0</v>
      </c>
      <c r="K365" s="45" t="n">
        <v>0</v>
      </c>
      <c r="L365" s="45" t="n">
        <v>0</v>
      </c>
      <c r="M365" s="45" t="n">
        <v>0</v>
      </c>
      <c r="N365" s="45" t="n">
        <v>0</v>
      </c>
    </row>
    <row r="366" customFormat="false" ht="18" hidden="false" customHeight="true" outlineLevel="0" collapsed="false">
      <c r="B366" s="44" t="s">
        <v>87</v>
      </c>
      <c r="C366" s="45" t="n">
        <v>0</v>
      </c>
      <c r="D366" s="45" t="n">
        <v>0</v>
      </c>
      <c r="E366" s="45" t="n">
        <v>0</v>
      </c>
      <c r="F366" s="45" t="n">
        <v>0</v>
      </c>
      <c r="G366" s="45" t="n">
        <v>0</v>
      </c>
      <c r="H366" s="45" t="n">
        <v>0</v>
      </c>
      <c r="I366" s="45" t="n">
        <v>0</v>
      </c>
      <c r="J366" s="45" t="n">
        <v>0</v>
      </c>
      <c r="K366" s="45" t="n">
        <v>0</v>
      </c>
      <c r="L366" s="45" t="n">
        <v>0</v>
      </c>
      <c r="M366" s="45" t="n">
        <v>0</v>
      </c>
      <c r="N366" s="45" t="n">
        <v>0</v>
      </c>
    </row>
    <row r="367" customFormat="false" ht="18" hidden="false" customHeight="true" outlineLevel="0" collapsed="false">
      <c r="B367" s="36" t="s">
        <v>88</v>
      </c>
      <c r="C367" s="37" t="n">
        <v>6</v>
      </c>
      <c r="D367" s="37" t="n">
        <v>0</v>
      </c>
      <c r="E367" s="37" t="n">
        <v>0</v>
      </c>
      <c r="F367" s="37" t="n">
        <v>0</v>
      </c>
      <c r="G367" s="37" t="n">
        <v>0</v>
      </c>
      <c r="H367" s="37" t="n">
        <v>0</v>
      </c>
      <c r="I367" s="37" t="n">
        <v>0</v>
      </c>
      <c r="J367" s="37" t="n">
        <v>0</v>
      </c>
      <c r="K367" s="37" t="n">
        <v>0</v>
      </c>
      <c r="L367" s="37" t="n">
        <v>0</v>
      </c>
      <c r="M367" s="37" t="n">
        <v>0</v>
      </c>
      <c r="N367" s="37" t="n">
        <v>0</v>
      </c>
    </row>
    <row r="370" customFormat="false" ht="27.75" hidden="false" customHeight="true" outlineLevel="0" collapsed="false">
      <c r="B370" s="46" t="s">
        <v>110</v>
      </c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</row>
    <row r="371" customFormat="false" ht="3.75" hidden="false" customHeight="true" outlineLevel="0" collapsed="false"/>
    <row r="372" customFormat="false" ht="25.5" hidden="false" customHeight="true" outlineLevel="0" collapsed="false">
      <c r="B372" s="47" t="s">
        <v>33</v>
      </c>
      <c r="C372" s="47" t="s">
        <v>68</v>
      </c>
      <c r="D372" s="47" t="s">
        <v>69</v>
      </c>
      <c r="E372" s="47" t="s">
        <v>70</v>
      </c>
      <c r="F372" s="47" t="s">
        <v>71</v>
      </c>
      <c r="G372" s="47" t="s">
        <v>72</v>
      </c>
      <c r="H372" s="47" t="s">
        <v>73</v>
      </c>
      <c r="I372" s="47" t="s">
        <v>74</v>
      </c>
      <c r="J372" s="47" t="s">
        <v>75</v>
      </c>
      <c r="K372" s="47" t="s">
        <v>76</v>
      </c>
      <c r="L372" s="47" t="s">
        <v>77</v>
      </c>
      <c r="M372" s="47" t="s">
        <v>78</v>
      </c>
      <c r="N372" s="47" t="s">
        <v>79</v>
      </c>
    </row>
    <row r="373" customFormat="false" ht="18" hidden="false" customHeight="true" outlineLevel="0" collapsed="false">
      <c r="B373" s="36" t="s">
        <v>80</v>
      </c>
      <c r="C373" s="37" t="n">
        <v>22</v>
      </c>
      <c r="D373" s="37" t="n">
        <v>0</v>
      </c>
      <c r="E373" s="37" t="n">
        <v>0</v>
      </c>
      <c r="F373" s="37" t="n">
        <v>0</v>
      </c>
      <c r="G373" s="37" t="n">
        <v>0</v>
      </c>
      <c r="H373" s="37" t="n">
        <v>0</v>
      </c>
      <c r="I373" s="37" t="n">
        <v>0</v>
      </c>
      <c r="J373" s="37" t="n">
        <v>0</v>
      </c>
      <c r="K373" s="37" t="n">
        <v>0</v>
      </c>
      <c r="L373" s="37" t="n">
        <v>0</v>
      </c>
      <c r="M373" s="37" t="n">
        <v>0</v>
      </c>
      <c r="N373" s="37" t="n">
        <v>0</v>
      </c>
    </row>
    <row r="374" customFormat="false" ht="18" hidden="false" customHeight="true" outlineLevel="0" collapsed="false">
      <c r="B374" s="38" t="s">
        <v>81</v>
      </c>
      <c r="C374" s="39" t="n">
        <v>0</v>
      </c>
      <c r="D374" s="39" t="n">
        <v>0</v>
      </c>
      <c r="E374" s="39" t="n">
        <v>0</v>
      </c>
      <c r="F374" s="39" t="n">
        <v>0</v>
      </c>
      <c r="G374" s="39" t="n">
        <v>0</v>
      </c>
      <c r="H374" s="39" t="n">
        <v>0</v>
      </c>
      <c r="I374" s="39" t="n">
        <v>0</v>
      </c>
      <c r="J374" s="39" t="n">
        <v>0</v>
      </c>
      <c r="K374" s="39" t="n">
        <v>0</v>
      </c>
      <c r="L374" s="39" t="n">
        <v>0</v>
      </c>
      <c r="M374" s="39" t="n">
        <v>0</v>
      </c>
      <c r="N374" s="39" t="n">
        <v>0</v>
      </c>
    </row>
    <row r="375" customFormat="false" ht="18" hidden="false" customHeight="true" outlineLevel="0" collapsed="false">
      <c r="B375" s="40" t="s">
        <v>82</v>
      </c>
      <c r="C375" s="41" t="n">
        <v>0</v>
      </c>
      <c r="D375" s="41" t="n">
        <v>0</v>
      </c>
      <c r="E375" s="41" t="n">
        <v>0</v>
      </c>
      <c r="F375" s="41" t="n">
        <v>0</v>
      </c>
      <c r="G375" s="41" t="n">
        <v>0</v>
      </c>
      <c r="H375" s="41" t="n">
        <v>0</v>
      </c>
      <c r="I375" s="41" t="n">
        <v>0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n">
        <v>0</v>
      </c>
    </row>
    <row r="376" customFormat="false" ht="18" hidden="false" customHeight="true" outlineLevel="0" collapsed="false">
      <c r="B376" s="38" t="s">
        <v>83</v>
      </c>
      <c r="C376" s="39" t="n">
        <v>0</v>
      </c>
      <c r="D376" s="39" t="n">
        <v>0</v>
      </c>
      <c r="E376" s="39" t="n">
        <v>0</v>
      </c>
      <c r="F376" s="39" t="n">
        <v>0</v>
      </c>
      <c r="G376" s="39" t="n">
        <v>0</v>
      </c>
      <c r="H376" s="39" t="n">
        <v>0</v>
      </c>
      <c r="I376" s="39" t="n">
        <v>0</v>
      </c>
      <c r="J376" s="39" t="n">
        <v>0</v>
      </c>
      <c r="K376" s="39" t="n">
        <v>0</v>
      </c>
      <c r="L376" s="39" t="n">
        <v>0</v>
      </c>
      <c r="M376" s="39" t="n">
        <v>0</v>
      </c>
      <c r="N376" s="39" t="n">
        <v>0</v>
      </c>
    </row>
    <row r="377" customFormat="false" ht="18" hidden="false" customHeight="true" outlineLevel="0" collapsed="false">
      <c r="B377" s="42" t="s">
        <v>84</v>
      </c>
      <c r="C377" s="43" t="n">
        <f aca="false">SUMPRODUCT((MONTH('⚫ Confirmed Attrition'!$G$5:$G$1000)=1)*(YEAR('⚫ Confirmed Attrition'!$G$5:$G$1000)=2026)*('⚫ Confirmed Attrition'!$D$5:$D$1000="Jean Paul Raymundo Larracas"))</f>
        <v>0</v>
      </c>
      <c r="D377" s="43" t="n">
        <f aca="false">SUMPRODUCT((MONTH('⚫ Confirmed Attrition'!$G$5:$G$1000)=2)*(YEAR('⚫ Confirmed Attrition'!$G$5:$G$1000)=2026)*('⚫ Confirmed Attrition'!$D$5:$D$1000="Jean Paul Raymundo Larracas"))</f>
        <v>0</v>
      </c>
      <c r="E377" s="43" t="n">
        <f aca="false">SUMPRODUCT((MONTH('⚫ Confirmed Attrition'!$G$5:$G$1000)=3)*(YEAR('⚫ Confirmed Attrition'!$G$5:$G$1000)=2026)*('⚫ Confirmed Attrition'!$D$5:$D$1000="Jean Paul Raymundo Larracas"))</f>
        <v>0</v>
      </c>
      <c r="F377" s="43" t="n">
        <f aca="false">SUMPRODUCT((MONTH('⚫ Confirmed Attrition'!$G$5:$G$1000)=4)*(YEAR('⚫ Confirmed Attrition'!$G$5:$G$1000)=2026)*('⚫ Confirmed Attrition'!$D$5:$D$1000="Jean Paul Raymundo Larracas"))</f>
        <v>0</v>
      </c>
      <c r="G377" s="43" t="n">
        <f aca="false">SUMPRODUCT((MONTH('⚫ Confirmed Attrition'!$G$5:$G$1000)=5)*(YEAR('⚫ Confirmed Attrition'!$G$5:$G$1000)=2026)*('⚫ Confirmed Attrition'!$D$5:$D$1000="Jean Paul Raymundo Larracas"))</f>
        <v>0</v>
      </c>
      <c r="H377" s="43" t="n">
        <f aca="false">SUMPRODUCT((MONTH('⚫ Confirmed Attrition'!$G$5:$G$1000)=6)*(YEAR('⚫ Confirmed Attrition'!$G$5:$G$1000)=2026)*('⚫ Confirmed Attrition'!$D$5:$D$1000="Jean Paul Raymundo Larracas"))</f>
        <v>0</v>
      </c>
      <c r="I377" s="43" t="n">
        <f aca="false">SUMPRODUCT((MONTH('⚫ Confirmed Attrition'!$G$5:$G$1000)=7)*(YEAR('⚫ Confirmed Attrition'!$G$5:$G$1000)=2026)*('⚫ Confirmed Attrition'!$D$5:$D$1000="Jean Paul Raymundo Larracas"))</f>
        <v>0</v>
      </c>
      <c r="J377" s="43" t="n">
        <f aca="false">SUMPRODUCT((MONTH('⚫ Confirmed Attrition'!$G$5:$G$1000)=8)*(YEAR('⚫ Confirmed Attrition'!$G$5:$G$1000)=2026)*('⚫ Confirmed Attrition'!$D$5:$D$1000="Jean Paul Raymundo Larracas"))</f>
        <v>0</v>
      </c>
      <c r="K377" s="43" t="n">
        <f aca="false">SUMPRODUCT((MONTH('⚫ Confirmed Attrition'!$G$5:$G$1000)=9)*(YEAR('⚫ Confirmed Attrition'!$G$5:$G$1000)=2026)*('⚫ Confirmed Attrition'!$D$5:$D$1000="Jean Paul Raymundo Larracas"))</f>
        <v>0</v>
      </c>
      <c r="L377" s="43" t="n">
        <f aca="false">SUMPRODUCT((MONTH('⚫ Confirmed Attrition'!$G$5:$G$1000)=10)*(YEAR('⚫ Confirmed Attrition'!$G$5:$G$1000)=2026)*('⚫ Confirmed Attrition'!$D$5:$D$1000="Jean Paul Raymundo Larracas"))</f>
        <v>0</v>
      </c>
      <c r="M377" s="43" t="n">
        <f aca="false">SUMPRODUCT((MONTH('⚫ Confirmed Attrition'!$G$5:$G$1000)=11)*(YEAR('⚫ Confirmed Attrition'!$G$5:$G$1000)=2026)*('⚫ Confirmed Attrition'!$D$5:$D$1000="Jean Paul Raymundo Larracas"))</f>
        <v>0</v>
      </c>
      <c r="N377" s="43" t="n">
        <f aca="false">SUMPRODUCT((MONTH('⚫ Confirmed Attrition'!$G$5:$G$1000)=12)*(YEAR('⚫ Confirmed Attrition'!$G$5:$G$1000)=2026)*('⚫ Confirmed Attrition'!$D$5:$D$1000="Jean Paul Raymundo Larracas"))</f>
        <v>0</v>
      </c>
    </row>
    <row r="378" customFormat="false" ht="18" hidden="false" customHeight="true" outlineLevel="0" collapsed="false">
      <c r="B378" s="44" t="s">
        <v>85</v>
      </c>
      <c r="C378" s="45" t="n">
        <v>0</v>
      </c>
      <c r="D378" s="45" t="n">
        <v>0</v>
      </c>
      <c r="E378" s="45" t="n">
        <v>0</v>
      </c>
      <c r="F378" s="45" t="n">
        <v>0</v>
      </c>
      <c r="G378" s="45" t="n">
        <v>0</v>
      </c>
      <c r="H378" s="45" t="n">
        <v>0</v>
      </c>
      <c r="I378" s="45" t="n">
        <v>0</v>
      </c>
      <c r="J378" s="45" t="n">
        <v>0</v>
      </c>
      <c r="K378" s="45" t="n">
        <v>0</v>
      </c>
      <c r="L378" s="45" t="n">
        <v>0</v>
      </c>
      <c r="M378" s="45" t="n">
        <v>0</v>
      </c>
      <c r="N378" s="45" t="n">
        <v>0</v>
      </c>
    </row>
    <row r="379" customFormat="false" ht="18" hidden="false" customHeight="true" outlineLevel="0" collapsed="false">
      <c r="B379" s="44" t="s">
        <v>86</v>
      </c>
      <c r="C379" s="45" t="n">
        <v>0</v>
      </c>
      <c r="D379" s="45" t="n">
        <v>0</v>
      </c>
      <c r="E379" s="45" t="n">
        <v>0</v>
      </c>
      <c r="F379" s="45" t="n">
        <v>0</v>
      </c>
      <c r="G379" s="45" t="n">
        <v>0</v>
      </c>
      <c r="H379" s="45" t="n">
        <v>0</v>
      </c>
      <c r="I379" s="45" t="n">
        <v>0</v>
      </c>
      <c r="J379" s="45" t="n">
        <v>0</v>
      </c>
      <c r="K379" s="45" t="n">
        <v>0</v>
      </c>
      <c r="L379" s="45" t="n">
        <v>0</v>
      </c>
      <c r="M379" s="45" t="n">
        <v>0</v>
      </c>
      <c r="N379" s="45" t="n">
        <v>0</v>
      </c>
    </row>
    <row r="380" customFormat="false" ht="18" hidden="false" customHeight="true" outlineLevel="0" collapsed="false">
      <c r="B380" s="44" t="s">
        <v>87</v>
      </c>
      <c r="C380" s="45" t="n">
        <v>0</v>
      </c>
      <c r="D380" s="45" t="n">
        <v>0</v>
      </c>
      <c r="E380" s="45" t="n">
        <v>0</v>
      </c>
      <c r="F380" s="45" t="n">
        <v>0</v>
      </c>
      <c r="G380" s="45" t="n">
        <v>0</v>
      </c>
      <c r="H380" s="45" t="n">
        <v>0</v>
      </c>
      <c r="I380" s="45" t="n">
        <v>0</v>
      </c>
      <c r="J380" s="45" t="n">
        <v>0</v>
      </c>
      <c r="K380" s="45" t="n">
        <v>0</v>
      </c>
      <c r="L380" s="45" t="n">
        <v>0</v>
      </c>
      <c r="M380" s="45" t="n">
        <v>0</v>
      </c>
      <c r="N380" s="45" t="n">
        <v>0</v>
      </c>
    </row>
    <row r="381" customFormat="false" ht="18" hidden="false" customHeight="true" outlineLevel="0" collapsed="false">
      <c r="B381" s="36" t="s">
        <v>88</v>
      </c>
      <c r="C381" s="37" t="n">
        <v>22</v>
      </c>
      <c r="D381" s="37" t="n">
        <v>0</v>
      </c>
      <c r="E381" s="37" t="n">
        <v>0</v>
      </c>
      <c r="F381" s="37" t="n">
        <v>0</v>
      </c>
      <c r="G381" s="37" t="n">
        <v>0</v>
      </c>
      <c r="H381" s="37" t="n">
        <v>0</v>
      </c>
      <c r="I381" s="37" t="n">
        <v>0</v>
      </c>
      <c r="J381" s="37" t="n">
        <v>0</v>
      </c>
      <c r="K381" s="37" t="n">
        <v>0</v>
      </c>
      <c r="L381" s="37" t="n">
        <v>0</v>
      </c>
      <c r="M381" s="37" t="n">
        <v>0</v>
      </c>
      <c r="N381" s="37" t="n">
        <v>0</v>
      </c>
    </row>
    <row r="384" customFormat="false" ht="27.75" hidden="false" customHeight="true" outlineLevel="0" collapsed="false">
      <c r="B384" s="46" t="s">
        <v>111</v>
      </c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</row>
    <row r="385" customFormat="false" ht="3.75" hidden="false" customHeight="true" outlineLevel="0" collapsed="false"/>
    <row r="386" customFormat="false" ht="25.5" hidden="false" customHeight="true" outlineLevel="0" collapsed="false">
      <c r="B386" s="47" t="s">
        <v>34</v>
      </c>
      <c r="C386" s="47" t="s">
        <v>68</v>
      </c>
      <c r="D386" s="47" t="s">
        <v>69</v>
      </c>
      <c r="E386" s="47" t="s">
        <v>70</v>
      </c>
      <c r="F386" s="47" t="s">
        <v>71</v>
      </c>
      <c r="G386" s="47" t="s">
        <v>72</v>
      </c>
      <c r="H386" s="47" t="s">
        <v>73</v>
      </c>
      <c r="I386" s="47" t="s">
        <v>74</v>
      </c>
      <c r="J386" s="47" t="s">
        <v>75</v>
      </c>
      <c r="K386" s="47" t="s">
        <v>76</v>
      </c>
      <c r="L386" s="47" t="s">
        <v>77</v>
      </c>
      <c r="M386" s="47" t="s">
        <v>78</v>
      </c>
      <c r="N386" s="47" t="s">
        <v>79</v>
      </c>
    </row>
    <row r="387" customFormat="false" ht="18" hidden="false" customHeight="true" outlineLevel="0" collapsed="false">
      <c r="B387" s="36" t="s">
        <v>80</v>
      </c>
      <c r="C387" s="37" t="n">
        <v>20</v>
      </c>
      <c r="D387" s="37" t="n">
        <v>0</v>
      </c>
      <c r="E387" s="37" t="n">
        <v>0</v>
      </c>
      <c r="F387" s="37" t="n">
        <v>0</v>
      </c>
      <c r="G387" s="37" t="n">
        <v>0</v>
      </c>
      <c r="H387" s="37" t="n">
        <v>0</v>
      </c>
      <c r="I387" s="37" t="n">
        <v>0</v>
      </c>
      <c r="J387" s="37" t="n">
        <v>0</v>
      </c>
      <c r="K387" s="37" t="n">
        <v>0</v>
      </c>
      <c r="L387" s="37" t="n">
        <v>0</v>
      </c>
      <c r="M387" s="37" t="n">
        <v>0</v>
      </c>
      <c r="N387" s="37" t="n">
        <v>0</v>
      </c>
    </row>
    <row r="388" customFormat="false" ht="18" hidden="false" customHeight="true" outlineLevel="0" collapsed="false">
      <c r="B388" s="38" t="s">
        <v>81</v>
      </c>
      <c r="C388" s="39" t="n">
        <v>0</v>
      </c>
      <c r="D388" s="39" t="n">
        <v>0</v>
      </c>
      <c r="E388" s="39" t="n">
        <v>0</v>
      </c>
      <c r="F388" s="39" t="n">
        <v>0</v>
      </c>
      <c r="G388" s="39" t="n">
        <v>0</v>
      </c>
      <c r="H388" s="39" t="n">
        <v>0</v>
      </c>
      <c r="I388" s="39" t="n">
        <v>0</v>
      </c>
      <c r="J388" s="39" t="n">
        <v>0</v>
      </c>
      <c r="K388" s="39" t="n">
        <v>0</v>
      </c>
      <c r="L388" s="39" t="n">
        <v>0</v>
      </c>
      <c r="M388" s="39" t="n">
        <v>0</v>
      </c>
      <c r="N388" s="39" t="n">
        <v>0</v>
      </c>
    </row>
    <row r="389" customFormat="false" ht="18" hidden="false" customHeight="true" outlineLevel="0" collapsed="false">
      <c r="B389" s="40" t="s">
        <v>82</v>
      </c>
      <c r="C389" s="41" t="n">
        <v>0</v>
      </c>
      <c r="D389" s="41" t="n">
        <v>0</v>
      </c>
      <c r="E389" s="41" t="n">
        <v>0</v>
      </c>
      <c r="F389" s="41" t="n">
        <v>0</v>
      </c>
      <c r="G389" s="41" t="n">
        <v>0</v>
      </c>
      <c r="H389" s="41" t="n">
        <v>0</v>
      </c>
      <c r="I389" s="41" t="n">
        <v>0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n">
        <v>0</v>
      </c>
    </row>
    <row r="390" customFormat="false" ht="18" hidden="false" customHeight="true" outlineLevel="0" collapsed="false">
      <c r="B390" s="38" t="s">
        <v>83</v>
      </c>
      <c r="C390" s="39" t="n">
        <v>0</v>
      </c>
      <c r="D390" s="39" t="n">
        <v>0</v>
      </c>
      <c r="E390" s="39" t="n">
        <v>0</v>
      </c>
      <c r="F390" s="39" t="n">
        <v>0</v>
      </c>
      <c r="G390" s="39" t="n">
        <v>0</v>
      </c>
      <c r="H390" s="39" t="n">
        <v>0</v>
      </c>
      <c r="I390" s="39" t="n">
        <v>0</v>
      </c>
      <c r="J390" s="39" t="n">
        <v>0</v>
      </c>
      <c r="K390" s="39" t="n">
        <v>0</v>
      </c>
      <c r="L390" s="39" t="n">
        <v>0</v>
      </c>
      <c r="M390" s="39" t="n">
        <v>0</v>
      </c>
      <c r="N390" s="39" t="n">
        <v>0</v>
      </c>
    </row>
    <row r="391" customFormat="false" ht="18" hidden="false" customHeight="true" outlineLevel="0" collapsed="false">
      <c r="B391" s="42" t="s">
        <v>84</v>
      </c>
      <c r="C391" s="43" t="n">
        <f aca="false">SUMPRODUCT((MONTH('⚫ Confirmed Attrition'!$G$5:$G$1000)=1)*(YEAR('⚫ Confirmed Attrition'!$G$5:$G$1000)=2026)*('⚫ Confirmed Attrition'!$D$5:$D$1000="Jennie Ann Mondido Abrasado"))</f>
        <v>0</v>
      </c>
      <c r="D391" s="43" t="n">
        <f aca="false">SUMPRODUCT((MONTH('⚫ Confirmed Attrition'!$G$5:$G$1000)=2)*(YEAR('⚫ Confirmed Attrition'!$G$5:$G$1000)=2026)*('⚫ Confirmed Attrition'!$D$5:$D$1000="Jennie Ann Mondido Abrasado"))</f>
        <v>0</v>
      </c>
      <c r="E391" s="43" t="n">
        <f aca="false">SUMPRODUCT((MONTH('⚫ Confirmed Attrition'!$G$5:$G$1000)=3)*(YEAR('⚫ Confirmed Attrition'!$G$5:$G$1000)=2026)*('⚫ Confirmed Attrition'!$D$5:$D$1000="Jennie Ann Mondido Abrasado"))</f>
        <v>0</v>
      </c>
      <c r="F391" s="43" t="n">
        <f aca="false">SUMPRODUCT((MONTH('⚫ Confirmed Attrition'!$G$5:$G$1000)=4)*(YEAR('⚫ Confirmed Attrition'!$G$5:$G$1000)=2026)*('⚫ Confirmed Attrition'!$D$5:$D$1000="Jennie Ann Mondido Abrasado"))</f>
        <v>0</v>
      </c>
      <c r="G391" s="43" t="n">
        <f aca="false">SUMPRODUCT((MONTH('⚫ Confirmed Attrition'!$G$5:$G$1000)=5)*(YEAR('⚫ Confirmed Attrition'!$G$5:$G$1000)=2026)*('⚫ Confirmed Attrition'!$D$5:$D$1000="Jennie Ann Mondido Abrasado"))</f>
        <v>0</v>
      </c>
      <c r="H391" s="43" t="n">
        <f aca="false">SUMPRODUCT((MONTH('⚫ Confirmed Attrition'!$G$5:$G$1000)=6)*(YEAR('⚫ Confirmed Attrition'!$G$5:$G$1000)=2026)*('⚫ Confirmed Attrition'!$D$5:$D$1000="Jennie Ann Mondido Abrasado"))</f>
        <v>0</v>
      </c>
      <c r="I391" s="43" t="n">
        <f aca="false">SUMPRODUCT((MONTH('⚫ Confirmed Attrition'!$G$5:$G$1000)=7)*(YEAR('⚫ Confirmed Attrition'!$G$5:$G$1000)=2026)*('⚫ Confirmed Attrition'!$D$5:$D$1000="Jennie Ann Mondido Abrasado"))</f>
        <v>0</v>
      </c>
      <c r="J391" s="43" t="n">
        <f aca="false">SUMPRODUCT((MONTH('⚫ Confirmed Attrition'!$G$5:$G$1000)=8)*(YEAR('⚫ Confirmed Attrition'!$G$5:$G$1000)=2026)*('⚫ Confirmed Attrition'!$D$5:$D$1000="Jennie Ann Mondido Abrasado"))</f>
        <v>0</v>
      </c>
      <c r="K391" s="43" t="n">
        <f aca="false">SUMPRODUCT((MONTH('⚫ Confirmed Attrition'!$G$5:$G$1000)=9)*(YEAR('⚫ Confirmed Attrition'!$G$5:$G$1000)=2026)*('⚫ Confirmed Attrition'!$D$5:$D$1000="Jennie Ann Mondido Abrasado"))</f>
        <v>0</v>
      </c>
      <c r="L391" s="43" t="n">
        <f aca="false">SUMPRODUCT((MONTH('⚫ Confirmed Attrition'!$G$5:$G$1000)=10)*(YEAR('⚫ Confirmed Attrition'!$G$5:$G$1000)=2026)*('⚫ Confirmed Attrition'!$D$5:$D$1000="Jennie Ann Mondido Abrasado"))</f>
        <v>0</v>
      </c>
      <c r="M391" s="43" t="n">
        <f aca="false">SUMPRODUCT((MONTH('⚫ Confirmed Attrition'!$G$5:$G$1000)=11)*(YEAR('⚫ Confirmed Attrition'!$G$5:$G$1000)=2026)*('⚫ Confirmed Attrition'!$D$5:$D$1000="Jennie Ann Mondido Abrasado"))</f>
        <v>0</v>
      </c>
      <c r="N391" s="43" t="n">
        <f aca="false">SUMPRODUCT((MONTH('⚫ Confirmed Attrition'!$G$5:$G$1000)=12)*(YEAR('⚫ Confirmed Attrition'!$G$5:$G$1000)=2026)*('⚫ Confirmed Attrition'!$D$5:$D$1000="Jennie Ann Mondido Abrasado"))</f>
        <v>0</v>
      </c>
    </row>
    <row r="392" customFormat="false" ht="18" hidden="false" customHeight="true" outlineLevel="0" collapsed="false">
      <c r="B392" s="44" t="s">
        <v>85</v>
      </c>
      <c r="C392" s="45" t="n">
        <v>0</v>
      </c>
      <c r="D392" s="45" t="n">
        <v>0</v>
      </c>
      <c r="E392" s="45" t="n">
        <v>0</v>
      </c>
      <c r="F392" s="45" t="n">
        <v>0</v>
      </c>
      <c r="G392" s="45" t="n">
        <v>0</v>
      </c>
      <c r="H392" s="45" t="n">
        <v>0</v>
      </c>
      <c r="I392" s="45" t="n">
        <v>0</v>
      </c>
      <c r="J392" s="45" t="n">
        <v>0</v>
      </c>
      <c r="K392" s="45" t="n">
        <v>0</v>
      </c>
      <c r="L392" s="45" t="n">
        <v>0</v>
      </c>
      <c r="M392" s="45" t="n">
        <v>0</v>
      </c>
      <c r="N392" s="45" t="n">
        <v>0</v>
      </c>
    </row>
    <row r="393" customFormat="false" ht="18" hidden="false" customHeight="true" outlineLevel="0" collapsed="false">
      <c r="B393" s="44" t="s">
        <v>86</v>
      </c>
      <c r="C393" s="45" t="n">
        <v>0</v>
      </c>
      <c r="D393" s="45" t="n">
        <v>0</v>
      </c>
      <c r="E393" s="45" t="n">
        <v>0</v>
      </c>
      <c r="F393" s="45" t="n">
        <v>0</v>
      </c>
      <c r="G393" s="45" t="n">
        <v>0</v>
      </c>
      <c r="H393" s="45" t="n">
        <v>0</v>
      </c>
      <c r="I393" s="45" t="n">
        <v>0</v>
      </c>
      <c r="J393" s="45" t="n">
        <v>0</v>
      </c>
      <c r="K393" s="45" t="n">
        <v>0</v>
      </c>
      <c r="L393" s="45" t="n">
        <v>0</v>
      </c>
      <c r="M393" s="45" t="n">
        <v>0</v>
      </c>
      <c r="N393" s="45" t="n">
        <v>0</v>
      </c>
    </row>
    <row r="394" customFormat="false" ht="18" hidden="false" customHeight="true" outlineLevel="0" collapsed="false">
      <c r="B394" s="44" t="s">
        <v>87</v>
      </c>
      <c r="C394" s="45" t="n">
        <v>0</v>
      </c>
      <c r="D394" s="45" t="n">
        <v>0</v>
      </c>
      <c r="E394" s="45" t="n">
        <v>0</v>
      </c>
      <c r="F394" s="45" t="n">
        <v>0</v>
      </c>
      <c r="G394" s="45" t="n">
        <v>0</v>
      </c>
      <c r="H394" s="45" t="n">
        <v>0</v>
      </c>
      <c r="I394" s="45" t="n">
        <v>0</v>
      </c>
      <c r="J394" s="45" t="n">
        <v>0</v>
      </c>
      <c r="K394" s="45" t="n">
        <v>0</v>
      </c>
      <c r="L394" s="45" t="n">
        <v>0</v>
      </c>
      <c r="M394" s="45" t="n">
        <v>0</v>
      </c>
      <c r="N394" s="45" t="n">
        <v>0</v>
      </c>
    </row>
    <row r="395" customFormat="false" ht="18" hidden="false" customHeight="true" outlineLevel="0" collapsed="false">
      <c r="B395" s="36" t="s">
        <v>88</v>
      </c>
      <c r="C395" s="37" t="n">
        <v>20</v>
      </c>
      <c r="D395" s="37" t="n">
        <v>0</v>
      </c>
      <c r="E395" s="37" t="n">
        <v>0</v>
      </c>
      <c r="F395" s="37" t="n">
        <v>0</v>
      </c>
      <c r="G395" s="37" t="n">
        <v>0</v>
      </c>
      <c r="H395" s="37" t="n">
        <v>0</v>
      </c>
      <c r="I395" s="37" t="n">
        <v>0</v>
      </c>
      <c r="J395" s="37" t="n">
        <v>0</v>
      </c>
      <c r="K395" s="37" t="n">
        <v>0</v>
      </c>
      <c r="L395" s="37" t="n">
        <v>0</v>
      </c>
      <c r="M395" s="37" t="n">
        <v>0</v>
      </c>
      <c r="N395" s="37" t="n">
        <v>0</v>
      </c>
    </row>
    <row r="398" customFormat="false" ht="27.75" hidden="false" customHeight="true" outlineLevel="0" collapsed="false">
      <c r="B398" s="46" t="s">
        <v>112</v>
      </c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</row>
    <row r="399" customFormat="false" ht="3.75" hidden="false" customHeight="true" outlineLevel="0" collapsed="false"/>
    <row r="400" customFormat="false" ht="25.5" hidden="false" customHeight="true" outlineLevel="0" collapsed="false">
      <c r="B400" s="47" t="s">
        <v>35</v>
      </c>
      <c r="C400" s="47" t="s">
        <v>68</v>
      </c>
      <c r="D400" s="47" t="s">
        <v>69</v>
      </c>
      <c r="E400" s="47" t="s">
        <v>70</v>
      </c>
      <c r="F400" s="47" t="s">
        <v>71</v>
      </c>
      <c r="G400" s="47" t="s">
        <v>72</v>
      </c>
      <c r="H400" s="47" t="s">
        <v>73</v>
      </c>
      <c r="I400" s="47" t="s">
        <v>74</v>
      </c>
      <c r="J400" s="47" t="s">
        <v>75</v>
      </c>
      <c r="K400" s="47" t="s">
        <v>76</v>
      </c>
      <c r="L400" s="47" t="s">
        <v>77</v>
      </c>
      <c r="M400" s="47" t="s">
        <v>78</v>
      </c>
      <c r="N400" s="47" t="s">
        <v>79</v>
      </c>
    </row>
    <row r="401" customFormat="false" ht="18" hidden="false" customHeight="true" outlineLevel="0" collapsed="false">
      <c r="B401" s="36" t="s">
        <v>80</v>
      </c>
      <c r="C401" s="37" t="n">
        <v>14</v>
      </c>
      <c r="D401" s="37" t="n">
        <v>0</v>
      </c>
      <c r="E401" s="37" t="n">
        <v>0</v>
      </c>
      <c r="F401" s="37" t="n">
        <v>0</v>
      </c>
      <c r="G401" s="37" t="n">
        <v>0</v>
      </c>
      <c r="H401" s="37" t="n">
        <v>0</v>
      </c>
      <c r="I401" s="37" t="n">
        <v>0</v>
      </c>
      <c r="J401" s="37" t="n">
        <v>0</v>
      </c>
      <c r="K401" s="37" t="n">
        <v>0</v>
      </c>
      <c r="L401" s="37" t="n">
        <v>0</v>
      </c>
      <c r="M401" s="37" t="n">
        <v>0</v>
      </c>
      <c r="N401" s="37" t="n">
        <v>0</v>
      </c>
    </row>
    <row r="402" customFormat="false" ht="18" hidden="false" customHeight="true" outlineLevel="0" collapsed="false">
      <c r="B402" s="38" t="s">
        <v>81</v>
      </c>
      <c r="C402" s="39" t="n">
        <v>0</v>
      </c>
      <c r="D402" s="39" t="n">
        <v>0</v>
      </c>
      <c r="E402" s="39" t="n">
        <v>0</v>
      </c>
      <c r="F402" s="39" t="n">
        <v>0</v>
      </c>
      <c r="G402" s="39" t="n">
        <v>0</v>
      </c>
      <c r="H402" s="39" t="n">
        <v>0</v>
      </c>
      <c r="I402" s="39" t="n">
        <v>0</v>
      </c>
      <c r="J402" s="39" t="n">
        <v>0</v>
      </c>
      <c r="K402" s="39" t="n">
        <v>0</v>
      </c>
      <c r="L402" s="39" t="n">
        <v>0</v>
      </c>
      <c r="M402" s="39" t="n">
        <v>0</v>
      </c>
      <c r="N402" s="39" t="n">
        <v>0</v>
      </c>
    </row>
    <row r="403" customFormat="false" ht="18" hidden="false" customHeight="true" outlineLevel="0" collapsed="false">
      <c r="B403" s="40" t="s">
        <v>82</v>
      </c>
      <c r="C403" s="41" t="n">
        <v>0</v>
      </c>
      <c r="D403" s="41" t="n">
        <v>0</v>
      </c>
      <c r="E403" s="41" t="n">
        <v>0</v>
      </c>
      <c r="F403" s="41" t="n">
        <v>0</v>
      </c>
      <c r="G403" s="41" t="n">
        <v>0</v>
      </c>
      <c r="H403" s="41" t="n">
        <v>0</v>
      </c>
      <c r="I403" s="41" t="n">
        <v>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n">
        <v>0</v>
      </c>
    </row>
    <row r="404" customFormat="false" ht="18" hidden="false" customHeight="true" outlineLevel="0" collapsed="false">
      <c r="B404" s="38" t="s">
        <v>83</v>
      </c>
      <c r="C404" s="39" t="n">
        <v>0</v>
      </c>
      <c r="D404" s="39" t="n">
        <v>0</v>
      </c>
      <c r="E404" s="39" t="n">
        <v>0</v>
      </c>
      <c r="F404" s="39" t="n">
        <v>0</v>
      </c>
      <c r="G404" s="39" t="n">
        <v>0</v>
      </c>
      <c r="H404" s="39" t="n">
        <v>0</v>
      </c>
      <c r="I404" s="39" t="n">
        <v>0</v>
      </c>
      <c r="J404" s="39" t="n">
        <v>0</v>
      </c>
      <c r="K404" s="39" t="n">
        <v>0</v>
      </c>
      <c r="L404" s="39" t="n">
        <v>0</v>
      </c>
      <c r="M404" s="39" t="n">
        <v>0</v>
      </c>
      <c r="N404" s="39" t="n">
        <v>0</v>
      </c>
    </row>
    <row r="405" customFormat="false" ht="18" hidden="false" customHeight="true" outlineLevel="0" collapsed="false">
      <c r="B405" s="42" t="s">
        <v>84</v>
      </c>
      <c r="C405" s="43" t="n">
        <f aca="false">SUMPRODUCT((MONTH('⚫ Confirmed Attrition'!$G$5:$G$1000)=1)*(YEAR('⚫ Confirmed Attrition'!$G$5:$G$1000)=2026)*('⚫ Confirmed Attrition'!$D$5:$D$1000="Jennifer N BurgoS-Rivera"))</f>
        <v>0</v>
      </c>
      <c r="D405" s="43" t="n">
        <f aca="false">SUMPRODUCT((MONTH('⚫ Confirmed Attrition'!$G$5:$G$1000)=2)*(YEAR('⚫ Confirmed Attrition'!$G$5:$G$1000)=2026)*('⚫ Confirmed Attrition'!$D$5:$D$1000="Jennifer N BurgoS-Rivera"))</f>
        <v>0</v>
      </c>
      <c r="E405" s="43" t="n">
        <f aca="false">SUMPRODUCT((MONTH('⚫ Confirmed Attrition'!$G$5:$G$1000)=3)*(YEAR('⚫ Confirmed Attrition'!$G$5:$G$1000)=2026)*('⚫ Confirmed Attrition'!$D$5:$D$1000="Jennifer N BurgoS-Rivera"))</f>
        <v>0</v>
      </c>
      <c r="F405" s="43" t="n">
        <f aca="false">SUMPRODUCT((MONTH('⚫ Confirmed Attrition'!$G$5:$G$1000)=4)*(YEAR('⚫ Confirmed Attrition'!$G$5:$G$1000)=2026)*('⚫ Confirmed Attrition'!$D$5:$D$1000="Jennifer N BurgoS-Rivera"))</f>
        <v>0</v>
      </c>
      <c r="G405" s="43" t="n">
        <f aca="false">SUMPRODUCT((MONTH('⚫ Confirmed Attrition'!$G$5:$G$1000)=5)*(YEAR('⚫ Confirmed Attrition'!$G$5:$G$1000)=2026)*('⚫ Confirmed Attrition'!$D$5:$D$1000="Jennifer N BurgoS-Rivera"))</f>
        <v>0</v>
      </c>
      <c r="H405" s="43" t="n">
        <f aca="false">SUMPRODUCT((MONTH('⚫ Confirmed Attrition'!$G$5:$G$1000)=6)*(YEAR('⚫ Confirmed Attrition'!$G$5:$G$1000)=2026)*('⚫ Confirmed Attrition'!$D$5:$D$1000="Jennifer N BurgoS-Rivera"))</f>
        <v>0</v>
      </c>
      <c r="I405" s="43" t="n">
        <f aca="false">SUMPRODUCT((MONTH('⚫ Confirmed Attrition'!$G$5:$G$1000)=7)*(YEAR('⚫ Confirmed Attrition'!$G$5:$G$1000)=2026)*('⚫ Confirmed Attrition'!$D$5:$D$1000="Jennifer N BurgoS-Rivera"))</f>
        <v>0</v>
      </c>
      <c r="J405" s="43" t="n">
        <f aca="false">SUMPRODUCT((MONTH('⚫ Confirmed Attrition'!$G$5:$G$1000)=8)*(YEAR('⚫ Confirmed Attrition'!$G$5:$G$1000)=2026)*('⚫ Confirmed Attrition'!$D$5:$D$1000="Jennifer N BurgoS-Rivera"))</f>
        <v>0</v>
      </c>
      <c r="K405" s="43" t="n">
        <f aca="false">SUMPRODUCT((MONTH('⚫ Confirmed Attrition'!$G$5:$G$1000)=9)*(YEAR('⚫ Confirmed Attrition'!$G$5:$G$1000)=2026)*('⚫ Confirmed Attrition'!$D$5:$D$1000="Jennifer N BurgoS-Rivera"))</f>
        <v>0</v>
      </c>
      <c r="L405" s="43" t="n">
        <f aca="false">SUMPRODUCT((MONTH('⚫ Confirmed Attrition'!$G$5:$G$1000)=10)*(YEAR('⚫ Confirmed Attrition'!$G$5:$G$1000)=2026)*('⚫ Confirmed Attrition'!$D$5:$D$1000="Jennifer N BurgoS-Rivera"))</f>
        <v>0</v>
      </c>
      <c r="M405" s="43" t="n">
        <f aca="false">SUMPRODUCT((MONTH('⚫ Confirmed Attrition'!$G$5:$G$1000)=11)*(YEAR('⚫ Confirmed Attrition'!$G$5:$G$1000)=2026)*('⚫ Confirmed Attrition'!$D$5:$D$1000="Jennifer N BurgoS-Rivera"))</f>
        <v>0</v>
      </c>
      <c r="N405" s="43" t="n">
        <f aca="false">SUMPRODUCT((MONTH('⚫ Confirmed Attrition'!$G$5:$G$1000)=12)*(YEAR('⚫ Confirmed Attrition'!$G$5:$G$1000)=2026)*('⚫ Confirmed Attrition'!$D$5:$D$1000="Jennifer N BurgoS-Rivera"))</f>
        <v>0</v>
      </c>
    </row>
    <row r="406" customFormat="false" ht="18" hidden="false" customHeight="true" outlineLevel="0" collapsed="false">
      <c r="B406" s="44" t="s">
        <v>85</v>
      </c>
      <c r="C406" s="45" t="n">
        <v>0</v>
      </c>
      <c r="D406" s="45" t="n">
        <v>0</v>
      </c>
      <c r="E406" s="45" t="n">
        <v>0</v>
      </c>
      <c r="F406" s="45" t="n">
        <v>0</v>
      </c>
      <c r="G406" s="45" t="n">
        <v>0</v>
      </c>
      <c r="H406" s="45" t="n">
        <v>0</v>
      </c>
      <c r="I406" s="45" t="n">
        <v>0</v>
      </c>
      <c r="J406" s="45" t="n">
        <v>0</v>
      </c>
      <c r="K406" s="45" t="n">
        <v>0</v>
      </c>
      <c r="L406" s="45" t="n">
        <v>0</v>
      </c>
      <c r="M406" s="45" t="n">
        <v>0</v>
      </c>
      <c r="N406" s="45" t="n">
        <v>0</v>
      </c>
    </row>
    <row r="407" customFormat="false" ht="18" hidden="false" customHeight="true" outlineLevel="0" collapsed="false">
      <c r="B407" s="44" t="s">
        <v>86</v>
      </c>
      <c r="C407" s="45" t="n">
        <v>0</v>
      </c>
      <c r="D407" s="45" t="n">
        <v>0</v>
      </c>
      <c r="E407" s="45" t="n">
        <v>0</v>
      </c>
      <c r="F407" s="45" t="n">
        <v>0</v>
      </c>
      <c r="G407" s="45" t="n">
        <v>0</v>
      </c>
      <c r="H407" s="45" t="n">
        <v>0</v>
      </c>
      <c r="I407" s="45" t="n">
        <v>0</v>
      </c>
      <c r="J407" s="45" t="n">
        <v>0</v>
      </c>
      <c r="K407" s="45" t="n">
        <v>0</v>
      </c>
      <c r="L407" s="45" t="n">
        <v>0</v>
      </c>
      <c r="M407" s="45" t="n">
        <v>0</v>
      </c>
      <c r="N407" s="45" t="n">
        <v>0</v>
      </c>
    </row>
    <row r="408" customFormat="false" ht="18" hidden="false" customHeight="true" outlineLevel="0" collapsed="false">
      <c r="B408" s="44" t="s">
        <v>87</v>
      </c>
      <c r="C408" s="45" t="n">
        <v>0</v>
      </c>
      <c r="D408" s="45" t="n">
        <v>0</v>
      </c>
      <c r="E408" s="45" t="n">
        <v>0</v>
      </c>
      <c r="F408" s="45" t="n">
        <v>0</v>
      </c>
      <c r="G408" s="45" t="n">
        <v>0</v>
      </c>
      <c r="H408" s="45" t="n">
        <v>0</v>
      </c>
      <c r="I408" s="45" t="n">
        <v>0</v>
      </c>
      <c r="J408" s="45" t="n">
        <v>0</v>
      </c>
      <c r="K408" s="45" t="n">
        <v>0</v>
      </c>
      <c r="L408" s="45" t="n">
        <v>0</v>
      </c>
      <c r="M408" s="45" t="n">
        <v>0</v>
      </c>
      <c r="N408" s="45" t="n">
        <v>0</v>
      </c>
    </row>
    <row r="409" customFormat="false" ht="18" hidden="false" customHeight="true" outlineLevel="0" collapsed="false">
      <c r="B409" s="36" t="s">
        <v>88</v>
      </c>
      <c r="C409" s="37" t="n">
        <v>14</v>
      </c>
      <c r="D409" s="37" t="n">
        <v>0</v>
      </c>
      <c r="E409" s="37" t="n">
        <v>0</v>
      </c>
      <c r="F409" s="37" t="n">
        <v>0</v>
      </c>
      <c r="G409" s="37" t="n">
        <v>0</v>
      </c>
      <c r="H409" s="37" t="n">
        <v>0</v>
      </c>
      <c r="I409" s="37" t="n">
        <v>0</v>
      </c>
      <c r="J409" s="37" t="n">
        <v>0</v>
      </c>
      <c r="K409" s="37" t="n">
        <v>0</v>
      </c>
      <c r="L409" s="37" t="n">
        <v>0</v>
      </c>
      <c r="M409" s="37" t="n">
        <v>0</v>
      </c>
      <c r="N409" s="37" t="n">
        <v>0</v>
      </c>
    </row>
    <row r="412" customFormat="false" ht="27.75" hidden="false" customHeight="true" outlineLevel="0" collapsed="false">
      <c r="B412" s="46" t="s">
        <v>113</v>
      </c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</row>
    <row r="413" customFormat="false" ht="3.75" hidden="false" customHeight="true" outlineLevel="0" collapsed="false"/>
    <row r="414" customFormat="false" ht="25.5" hidden="false" customHeight="true" outlineLevel="0" collapsed="false">
      <c r="B414" s="47" t="s">
        <v>36</v>
      </c>
      <c r="C414" s="47" t="s">
        <v>68</v>
      </c>
      <c r="D414" s="47" t="s">
        <v>69</v>
      </c>
      <c r="E414" s="47" t="s">
        <v>70</v>
      </c>
      <c r="F414" s="47" t="s">
        <v>71</v>
      </c>
      <c r="G414" s="47" t="s">
        <v>72</v>
      </c>
      <c r="H414" s="47" t="s">
        <v>73</v>
      </c>
      <c r="I414" s="47" t="s">
        <v>74</v>
      </c>
      <c r="J414" s="47" t="s">
        <v>75</v>
      </c>
      <c r="K414" s="47" t="s">
        <v>76</v>
      </c>
      <c r="L414" s="47" t="s">
        <v>77</v>
      </c>
      <c r="M414" s="47" t="s">
        <v>78</v>
      </c>
      <c r="N414" s="47" t="s">
        <v>79</v>
      </c>
    </row>
    <row r="415" customFormat="false" ht="18" hidden="false" customHeight="true" outlineLevel="0" collapsed="false">
      <c r="B415" s="36" t="s">
        <v>80</v>
      </c>
      <c r="C415" s="37" t="n">
        <v>18</v>
      </c>
      <c r="D415" s="37" t="n">
        <v>0</v>
      </c>
      <c r="E415" s="37" t="n">
        <v>0</v>
      </c>
      <c r="F415" s="37" t="n">
        <v>0</v>
      </c>
      <c r="G415" s="37" t="n">
        <v>0</v>
      </c>
      <c r="H415" s="37" t="n">
        <v>0</v>
      </c>
      <c r="I415" s="37" t="n">
        <v>0</v>
      </c>
      <c r="J415" s="37" t="n">
        <v>0</v>
      </c>
      <c r="K415" s="37" t="n">
        <v>0</v>
      </c>
      <c r="L415" s="37" t="n">
        <v>0</v>
      </c>
      <c r="M415" s="37" t="n">
        <v>0</v>
      </c>
      <c r="N415" s="37" t="n">
        <v>0</v>
      </c>
    </row>
    <row r="416" customFormat="false" ht="18" hidden="false" customHeight="true" outlineLevel="0" collapsed="false">
      <c r="B416" s="38" t="s">
        <v>81</v>
      </c>
      <c r="C416" s="39" t="n">
        <v>0</v>
      </c>
      <c r="D416" s="39" t="n">
        <v>0</v>
      </c>
      <c r="E416" s="39" t="n">
        <v>0</v>
      </c>
      <c r="F416" s="39" t="n">
        <v>0</v>
      </c>
      <c r="G416" s="39" t="n">
        <v>0</v>
      </c>
      <c r="H416" s="39" t="n">
        <v>0</v>
      </c>
      <c r="I416" s="39" t="n">
        <v>0</v>
      </c>
      <c r="J416" s="39" t="n">
        <v>0</v>
      </c>
      <c r="K416" s="39" t="n">
        <v>0</v>
      </c>
      <c r="L416" s="39" t="n">
        <v>0</v>
      </c>
      <c r="M416" s="39" t="n">
        <v>0</v>
      </c>
      <c r="N416" s="39" t="n">
        <v>0</v>
      </c>
    </row>
    <row r="417" customFormat="false" ht="18" hidden="false" customHeight="true" outlineLevel="0" collapsed="false">
      <c r="B417" s="40" t="s">
        <v>82</v>
      </c>
      <c r="C417" s="41" t="n">
        <v>0</v>
      </c>
      <c r="D417" s="41" t="n">
        <v>0</v>
      </c>
      <c r="E417" s="41" t="n">
        <v>0</v>
      </c>
      <c r="F417" s="41" t="n">
        <v>0</v>
      </c>
      <c r="G417" s="41" t="n">
        <v>0</v>
      </c>
      <c r="H417" s="41" t="n">
        <v>0</v>
      </c>
      <c r="I417" s="41" t="n">
        <v>0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n">
        <v>0</v>
      </c>
    </row>
    <row r="418" customFormat="false" ht="18" hidden="false" customHeight="true" outlineLevel="0" collapsed="false">
      <c r="B418" s="38" t="s">
        <v>83</v>
      </c>
      <c r="C418" s="39" t="n">
        <v>0</v>
      </c>
      <c r="D418" s="39" t="n">
        <v>0</v>
      </c>
      <c r="E418" s="39" t="n">
        <v>0</v>
      </c>
      <c r="F418" s="39" t="n">
        <v>0</v>
      </c>
      <c r="G418" s="39" t="n">
        <v>0</v>
      </c>
      <c r="H418" s="39" t="n">
        <v>0</v>
      </c>
      <c r="I418" s="39" t="n">
        <v>0</v>
      </c>
      <c r="J418" s="39" t="n">
        <v>0</v>
      </c>
      <c r="K418" s="39" t="n">
        <v>0</v>
      </c>
      <c r="L418" s="39" t="n">
        <v>0</v>
      </c>
      <c r="M418" s="39" t="n">
        <v>0</v>
      </c>
      <c r="N418" s="39" t="n">
        <v>0</v>
      </c>
    </row>
    <row r="419" customFormat="false" ht="18" hidden="false" customHeight="true" outlineLevel="0" collapsed="false">
      <c r="B419" s="42" t="s">
        <v>84</v>
      </c>
      <c r="C419" s="43" t="n">
        <f aca="false">SUMPRODUCT((MONTH('⚫ Confirmed Attrition'!$G$5:$G$1000)=1)*(YEAR('⚫ Confirmed Attrition'!$G$5:$G$1000)=2026)*('⚫ Confirmed Attrition'!$D$5:$D$1000="Jeric Amazona Mansibang"))</f>
        <v>0</v>
      </c>
      <c r="D419" s="43" t="n">
        <f aca="false">SUMPRODUCT((MONTH('⚫ Confirmed Attrition'!$G$5:$G$1000)=2)*(YEAR('⚫ Confirmed Attrition'!$G$5:$G$1000)=2026)*('⚫ Confirmed Attrition'!$D$5:$D$1000="Jeric Amazona Mansibang"))</f>
        <v>0</v>
      </c>
      <c r="E419" s="43" t="n">
        <f aca="false">SUMPRODUCT((MONTH('⚫ Confirmed Attrition'!$G$5:$G$1000)=3)*(YEAR('⚫ Confirmed Attrition'!$G$5:$G$1000)=2026)*('⚫ Confirmed Attrition'!$D$5:$D$1000="Jeric Amazona Mansibang"))</f>
        <v>0</v>
      </c>
      <c r="F419" s="43" t="n">
        <f aca="false">SUMPRODUCT((MONTH('⚫ Confirmed Attrition'!$G$5:$G$1000)=4)*(YEAR('⚫ Confirmed Attrition'!$G$5:$G$1000)=2026)*('⚫ Confirmed Attrition'!$D$5:$D$1000="Jeric Amazona Mansibang"))</f>
        <v>0</v>
      </c>
      <c r="G419" s="43" t="n">
        <f aca="false">SUMPRODUCT((MONTH('⚫ Confirmed Attrition'!$G$5:$G$1000)=5)*(YEAR('⚫ Confirmed Attrition'!$G$5:$G$1000)=2026)*('⚫ Confirmed Attrition'!$D$5:$D$1000="Jeric Amazona Mansibang"))</f>
        <v>0</v>
      </c>
      <c r="H419" s="43" t="n">
        <f aca="false">SUMPRODUCT((MONTH('⚫ Confirmed Attrition'!$G$5:$G$1000)=6)*(YEAR('⚫ Confirmed Attrition'!$G$5:$G$1000)=2026)*('⚫ Confirmed Attrition'!$D$5:$D$1000="Jeric Amazona Mansibang"))</f>
        <v>0</v>
      </c>
      <c r="I419" s="43" t="n">
        <f aca="false">SUMPRODUCT((MONTH('⚫ Confirmed Attrition'!$G$5:$G$1000)=7)*(YEAR('⚫ Confirmed Attrition'!$G$5:$G$1000)=2026)*('⚫ Confirmed Attrition'!$D$5:$D$1000="Jeric Amazona Mansibang"))</f>
        <v>0</v>
      </c>
      <c r="J419" s="43" t="n">
        <f aca="false">SUMPRODUCT((MONTH('⚫ Confirmed Attrition'!$G$5:$G$1000)=8)*(YEAR('⚫ Confirmed Attrition'!$G$5:$G$1000)=2026)*('⚫ Confirmed Attrition'!$D$5:$D$1000="Jeric Amazona Mansibang"))</f>
        <v>0</v>
      </c>
      <c r="K419" s="43" t="n">
        <f aca="false">SUMPRODUCT((MONTH('⚫ Confirmed Attrition'!$G$5:$G$1000)=9)*(YEAR('⚫ Confirmed Attrition'!$G$5:$G$1000)=2026)*('⚫ Confirmed Attrition'!$D$5:$D$1000="Jeric Amazona Mansibang"))</f>
        <v>0</v>
      </c>
      <c r="L419" s="43" t="n">
        <f aca="false">SUMPRODUCT((MONTH('⚫ Confirmed Attrition'!$G$5:$G$1000)=10)*(YEAR('⚫ Confirmed Attrition'!$G$5:$G$1000)=2026)*('⚫ Confirmed Attrition'!$D$5:$D$1000="Jeric Amazona Mansibang"))</f>
        <v>0</v>
      </c>
      <c r="M419" s="43" t="n">
        <f aca="false">SUMPRODUCT((MONTH('⚫ Confirmed Attrition'!$G$5:$G$1000)=11)*(YEAR('⚫ Confirmed Attrition'!$G$5:$G$1000)=2026)*('⚫ Confirmed Attrition'!$D$5:$D$1000="Jeric Amazona Mansibang"))</f>
        <v>0</v>
      </c>
      <c r="N419" s="43" t="n">
        <f aca="false">SUMPRODUCT((MONTH('⚫ Confirmed Attrition'!$G$5:$G$1000)=12)*(YEAR('⚫ Confirmed Attrition'!$G$5:$G$1000)=2026)*('⚫ Confirmed Attrition'!$D$5:$D$1000="Jeric Amazona Mansibang"))</f>
        <v>0</v>
      </c>
    </row>
    <row r="420" customFormat="false" ht="18" hidden="false" customHeight="true" outlineLevel="0" collapsed="false">
      <c r="B420" s="44" t="s">
        <v>85</v>
      </c>
      <c r="C420" s="45" t="n">
        <v>0</v>
      </c>
      <c r="D420" s="45" t="n">
        <v>0</v>
      </c>
      <c r="E420" s="45" t="n">
        <v>0</v>
      </c>
      <c r="F420" s="45" t="n">
        <v>0</v>
      </c>
      <c r="G420" s="45" t="n">
        <v>0</v>
      </c>
      <c r="H420" s="45" t="n">
        <v>0</v>
      </c>
      <c r="I420" s="45" t="n">
        <v>0</v>
      </c>
      <c r="J420" s="45" t="n">
        <v>0</v>
      </c>
      <c r="K420" s="45" t="n">
        <v>0</v>
      </c>
      <c r="L420" s="45" t="n">
        <v>0</v>
      </c>
      <c r="M420" s="45" t="n">
        <v>0</v>
      </c>
      <c r="N420" s="45" t="n">
        <v>0</v>
      </c>
    </row>
    <row r="421" customFormat="false" ht="18" hidden="false" customHeight="true" outlineLevel="0" collapsed="false">
      <c r="B421" s="44" t="s">
        <v>86</v>
      </c>
      <c r="C421" s="45" t="n">
        <v>0</v>
      </c>
      <c r="D421" s="45" t="n">
        <v>0</v>
      </c>
      <c r="E421" s="45" t="n">
        <v>0</v>
      </c>
      <c r="F421" s="45" t="n">
        <v>0</v>
      </c>
      <c r="G421" s="45" t="n">
        <v>0</v>
      </c>
      <c r="H421" s="45" t="n">
        <v>0</v>
      </c>
      <c r="I421" s="45" t="n">
        <v>0</v>
      </c>
      <c r="J421" s="45" t="n">
        <v>0</v>
      </c>
      <c r="K421" s="45" t="n">
        <v>0</v>
      </c>
      <c r="L421" s="45" t="n">
        <v>0</v>
      </c>
      <c r="M421" s="45" t="n">
        <v>0</v>
      </c>
      <c r="N421" s="45" t="n">
        <v>0</v>
      </c>
    </row>
    <row r="422" customFormat="false" ht="18" hidden="false" customHeight="true" outlineLevel="0" collapsed="false">
      <c r="B422" s="44" t="s">
        <v>87</v>
      </c>
      <c r="C422" s="45" t="n">
        <v>0</v>
      </c>
      <c r="D422" s="45" t="n">
        <v>0</v>
      </c>
      <c r="E422" s="45" t="n">
        <v>0</v>
      </c>
      <c r="F422" s="45" t="n">
        <v>0</v>
      </c>
      <c r="G422" s="45" t="n">
        <v>0</v>
      </c>
      <c r="H422" s="45" t="n">
        <v>0</v>
      </c>
      <c r="I422" s="45" t="n">
        <v>0</v>
      </c>
      <c r="J422" s="45" t="n">
        <v>0</v>
      </c>
      <c r="K422" s="45" t="n">
        <v>0</v>
      </c>
      <c r="L422" s="45" t="n">
        <v>0</v>
      </c>
      <c r="M422" s="45" t="n">
        <v>0</v>
      </c>
      <c r="N422" s="45" t="n">
        <v>0</v>
      </c>
    </row>
    <row r="423" customFormat="false" ht="18" hidden="false" customHeight="true" outlineLevel="0" collapsed="false">
      <c r="B423" s="36" t="s">
        <v>88</v>
      </c>
      <c r="C423" s="37" t="n">
        <v>18</v>
      </c>
      <c r="D423" s="37" t="n">
        <v>0</v>
      </c>
      <c r="E423" s="37" t="n">
        <v>0</v>
      </c>
      <c r="F423" s="37" t="n">
        <v>0</v>
      </c>
      <c r="G423" s="37" t="n">
        <v>0</v>
      </c>
      <c r="H423" s="37" t="n">
        <v>0</v>
      </c>
      <c r="I423" s="37" t="n">
        <v>0</v>
      </c>
      <c r="J423" s="37" t="n">
        <v>0</v>
      </c>
      <c r="K423" s="37" t="n">
        <v>0</v>
      </c>
      <c r="L423" s="37" t="n">
        <v>0</v>
      </c>
      <c r="M423" s="37" t="n">
        <v>0</v>
      </c>
      <c r="N423" s="37" t="n">
        <v>0</v>
      </c>
    </row>
    <row r="426" customFormat="false" ht="27.75" hidden="false" customHeight="true" outlineLevel="0" collapsed="false">
      <c r="B426" s="46" t="s">
        <v>114</v>
      </c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</row>
    <row r="427" customFormat="false" ht="3.75" hidden="false" customHeight="true" outlineLevel="0" collapsed="false"/>
    <row r="428" customFormat="false" ht="25.5" hidden="false" customHeight="true" outlineLevel="0" collapsed="false">
      <c r="B428" s="47" t="s">
        <v>37</v>
      </c>
      <c r="C428" s="47" t="s">
        <v>68</v>
      </c>
      <c r="D428" s="47" t="s">
        <v>69</v>
      </c>
      <c r="E428" s="47" t="s">
        <v>70</v>
      </c>
      <c r="F428" s="47" t="s">
        <v>71</v>
      </c>
      <c r="G428" s="47" t="s">
        <v>72</v>
      </c>
      <c r="H428" s="47" t="s">
        <v>73</v>
      </c>
      <c r="I428" s="47" t="s">
        <v>74</v>
      </c>
      <c r="J428" s="47" t="s">
        <v>75</v>
      </c>
      <c r="K428" s="47" t="s">
        <v>76</v>
      </c>
      <c r="L428" s="47" t="s">
        <v>77</v>
      </c>
      <c r="M428" s="47" t="s">
        <v>78</v>
      </c>
      <c r="N428" s="47" t="s">
        <v>79</v>
      </c>
    </row>
    <row r="429" customFormat="false" ht="18" hidden="false" customHeight="true" outlineLevel="0" collapsed="false">
      <c r="B429" s="36" t="s">
        <v>80</v>
      </c>
      <c r="C429" s="37" t="n">
        <v>16</v>
      </c>
      <c r="D429" s="37" t="n">
        <v>0</v>
      </c>
      <c r="E429" s="37" t="n">
        <v>0</v>
      </c>
      <c r="F429" s="37" t="n">
        <v>0</v>
      </c>
      <c r="G429" s="37" t="n">
        <v>0</v>
      </c>
      <c r="H429" s="37" t="n">
        <v>0</v>
      </c>
      <c r="I429" s="37" t="n">
        <v>0</v>
      </c>
      <c r="J429" s="37" t="n">
        <v>0</v>
      </c>
      <c r="K429" s="37" t="n">
        <v>0</v>
      </c>
      <c r="L429" s="37" t="n">
        <v>0</v>
      </c>
      <c r="M429" s="37" t="n">
        <v>0</v>
      </c>
      <c r="N429" s="37" t="n">
        <v>0</v>
      </c>
    </row>
    <row r="430" customFormat="false" ht="18" hidden="false" customHeight="true" outlineLevel="0" collapsed="false">
      <c r="B430" s="38" t="s">
        <v>81</v>
      </c>
      <c r="C430" s="39" t="n">
        <v>0</v>
      </c>
      <c r="D430" s="39" t="n">
        <v>0</v>
      </c>
      <c r="E430" s="39" t="n">
        <v>0</v>
      </c>
      <c r="F430" s="39" t="n">
        <v>0</v>
      </c>
      <c r="G430" s="39" t="n">
        <v>0</v>
      </c>
      <c r="H430" s="39" t="n">
        <v>0</v>
      </c>
      <c r="I430" s="39" t="n">
        <v>0</v>
      </c>
      <c r="J430" s="39" t="n">
        <v>0</v>
      </c>
      <c r="K430" s="39" t="n">
        <v>0</v>
      </c>
      <c r="L430" s="39" t="n">
        <v>0</v>
      </c>
      <c r="M430" s="39" t="n">
        <v>0</v>
      </c>
      <c r="N430" s="39" t="n">
        <v>0</v>
      </c>
    </row>
    <row r="431" customFormat="false" ht="18" hidden="false" customHeight="true" outlineLevel="0" collapsed="false">
      <c r="B431" s="40" t="s">
        <v>82</v>
      </c>
      <c r="C431" s="41" t="n">
        <v>0</v>
      </c>
      <c r="D431" s="41" t="n">
        <v>0</v>
      </c>
      <c r="E431" s="41" t="n">
        <v>0</v>
      </c>
      <c r="F431" s="41" t="n">
        <v>0</v>
      </c>
      <c r="G431" s="41" t="n">
        <v>0</v>
      </c>
      <c r="H431" s="41" t="n">
        <v>0</v>
      </c>
      <c r="I431" s="41" t="n">
        <v>0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n">
        <v>0</v>
      </c>
    </row>
    <row r="432" customFormat="false" ht="18" hidden="false" customHeight="true" outlineLevel="0" collapsed="false">
      <c r="B432" s="38" t="s">
        <v>83</v>
      </c>
      <c r="C432" s="39" t="n">
        <v>0</v>
      </c>
      <c r="D432" s="39" t="n">
        <v>0</v>
      </c>
      <c r="E432" s="39" t="n">
        <v>0</v>
      </c>
      <c r="F432" s="39" t="n">
        <v>0</v>
      </c>
      <c r="G432" s="39" t="n">
        <v>0</v>
      </c>
      <c r="H432" s="39" t="n">
        <v>0</v>
      </c>
      <c r="I432" s="39" t="n">
        <v>0</v>
      </c>
      <c r="J432" s="39" t="n">
        <v>0</v>
      </c>
      <c r="K432" s="39" t="n">
        <v>0</v>
      </c>
      <c r="L432" s="39" t="n">
        <v>0</v>
      </c>
      <c r="M432" s="39" t="n">
        <v>0</v>
      </c>
      <c r="N432" s="39" t="n">
        <v>0</v>
      </c>
    </row>
    <row r="433" customFormat="false" ht="18" hidden="false" customHeight="true" outlineLevel="0" collapsed="false">
      <c r="B433" s="42" t="s">
        <v>84</v>
      </c>
      <c r="C433" s="43" t="n">
        <f aca="false">SUMPRODUCT((MONTH('⚫ Confirmed Attrition'!$G$5:$G$1000)=1)*(YEAR('⚫ Confirmed Attrition'!$G$5:$G$1000)=2026)*('⚫ Confirmed Attrition'!$D$5:$D$1000="John Earl Melitado Lagare"))</f>
        <v>0</v>
      </c>
      <c r="D433" s="43" t="n">
        <f aca="false">SUMPRODUCT((MONTH('⚫ Confirmed Attrition'!$G$5:$G$1000)=2)*(YEAR('⚫ Confirmed Attrition'!$G$5:$G$1000)=2026)*('⚫ Confirmed Attrition'!$D$5:$D$1000="John Earl Melitado Lagare"))</f>
        <v>0</v>
      </c>
      <c r="E433" s="43" t="n">
        <f aca="false">SUMPRODUCT((MONTH('⚫ Confirmed Attrition'!$G$5:$G$1000)=3)*(YEAR('⚫ Confirmed Attrition'!$G$5:$G$1000)=2026)*('⚫ Confirmed Attrition'!$D$5:$D$1000="John Earl Melitado Lagare"))</f>
        <v>0</v>
      </c>
      <c r="F433" s="43" t="n">
        <f aca="false">SUMPRODUCT((MONTH('⚫ Confirmed Attrition'!$G$5:$G$1000)=4)*(YEAR('⚫ Confirmed Attrition'!$G$5:$G$1000)=2026)*('⚫ Confirmed Attrition'!$D$5:$D$1000="John Earl Melitado Lagare"))</f>
        <v>0</v>
      </c>
      <c r="G433" s="43" t="n">
        <f aca="false">SUMPRODUCT((MONTH('⚫ Confirmed Attrition'!$G$5:$G$1000)=5)*(YEAR('⚫ Confirmed Attrition'!$G$5:$G$1000)=2026)*('⚫ Confirmed Attrition'!$D$5:$D$1000="John Earl Melitado Lagare"))</f>
        <v>0</v>
      </c>
      <c r="H433" s="43" t="n">
        <f aca="false">SUMPRODUCT((MONTH('⚫ Confirmed Attrition'!$G$5:$G$1000)=6)*(YEAR('⚫ Confirmed Attrition'!$G$5:$G$1000)=2026)*('⚫ Confirmed Attrition'!$D$5:$D$1000="John Earl Melitado Lagare"))</f>
        <v>0</v>
      </c>
      <c r="I433" s="43" t="n">
        <f aca="false">SUMPRODUCT((MONTH('⚫ Confirmed Attrition'!$G$5:$G$1000)=7)*(YEAR('⚫ Confirmed Attrition'!$G$5:$G$1000)=2026)*('⚫ Confirmed Attrition'!$D$5:$D$1000="John Earl Melitado Lagare"))</f>
        <v>0</v>
      </c>
      <c r="J433" s="43" t="n">
        <f aca="false">SUMPRODUCT((MONTH('⚫ Confirmed Attrition'!$G$5:$G$1000)=8)*(YEAR('⚫ Confirmed Attrition'!$G$5:$G$1000)=2026)*('⚫ Confirmed Attrition'!$D$5:$D$1000="John Earl Melitado Lagare"))</f>
        <v>0</v>
      </c>
      <c r="K433" s="43" t="n">
        <f aca="false">SUMPRODUCT((MONTH('⚫ Confirmed Attrition'!$G$5:$G$1000)=9)*(YEAR('⚫ Confirmed Attrition'!$G$5:$G$1000)=2026)*('⚫ Confirmed Attrition'!$D$5:$D$1000="John Earl Melitado Lagare"))</f>
        <v>0</v>
      </c>
      <c r="L433" s="43" t="n">
        <f aca="false">SUMPRODUCT((MONTH('⚫ Confirmed Attrition'!$G$5:$G$1000)=10)*(YEAR('⚫ Confirmed Attrition'!$G$5:$G$1000)=2026)*('⚫ Confirmed Attrition'!$D$5:$D$1000="John Earl Melitado Lagare"))</f>
        <v>0</v>
      </c>
      <c r="M433" s="43" t="n">
        <f aca="false">SUMPRODUCT((MONTH('⚫ Confirmed Attrition'!$G$5:$G$1000)=11)*(YEAR('⚫ Confirmed Attrition'!$G$5:$G$1000)=2026)*('⚫ Confirmed Attrition'!$D$5:$D$1000="John Earl Melitado Lagare"))</f>
        <v>0</v>
      </c>
      <c r="N433" s="43" t="n">
        <f aca="false">SUMPRODUCT((MONTH('⚫ Confirmed Attrition'!$G$5:$G$1000)=12)*(YEAR('⚫ Confirmed Attrition'!$G$5:$G$1000)=2026)*('⚫ Confirmed Attrition'!$D$5:$D$1000="John Earl Melitado Lagare"))</f>
        <v>0</v>
      </c>
    </row>
    <row r="434" customFormat="false" ht="18" hidden="false" customHeight="true" outlineLevel="0" collapsed="false">
      <c r="B434" s="44" t="s">
        <v>85</v>
      </c>
      <c r="C434" s="45" t="n">
        <v>0</v>
      </c>
      <c r="D434" s="45" t="n">
        <v>0</v>
      </c>
      <c r="E434" s="45" t="n">
        <v>0</v>
      </c>
      <c r="F434" s="45" t="n">
        <v>0</v>
      </c>
      <c r="G434" s="45" t="n">
        <v>0</v>
      </c>
      <c r="H434" s="45" t="n">
        <v>0</v>
      </c>
      <c r="I434" s="45" t="n">
        <v>0</v>
      </c>
      <c r="J434" s="45" t="n">
        <v>0</v>
      </c>
      <c r="K434" s="45" t="n">
        <v>0</v>
      </c>
      <c r="L434" s="45" t="n">
        <v>0</v>
      </c>
      <c r="M434" s="45" t="n">
        <v>0</v>
      </c>
      <c r="N434" s="45" t="n">
        <v>0</v>
      </c>
    </row>
    <row r="435" customFormat="false" ht="18" hidden="false" customHeight="true" outlineLevel="0" collapsed="false">
      <c r="B435" s="44" t="s">
        <v>86</v>
      </c>
      <c r="C435" s="45" t="n">
        <v>0</v>
      </c>
      <c r="D435" s="45" t="n">
        <v>0</v>
      </c>
      <c r="E435" s="45" t="n">
        <v>0</v>
      </c>
      <c r="F435" s="45" t="n">
        <v>0</v>
      </c>
      <c r="G435" s="45" t="n">
        <v>0</v>
      </c>
      <c r="H435" s="45" t="n">
        <v>0</v>
      </c>
      <c r="I435" s="45" t="n">
        <v>0</v>
      </c>
      <c r="J435" s="45" t="n">
        <v>0</v>
      </c>
      <c r="K435" s="45" t="n">
        <v>0</v>
      </c>
      <c r="L435" s="45" t="n">
        <v>0</v>
      </c>
      <c r="M435" s="45" t="n">
        <v>0</v>
      </c>
      <c r="N435" s="45" t="n">
        <v>0</v>
      </c>
    </row>
    <row r="436" customFormat="false" ht="18" hidden="false" customHeight="true" outlineLevel="0" collapsed="false">
      <c r="B436" s="44" t="s">
        <v>87</v>
      </c>
      <c r="C436" s="45" t="n">
        <v>0</v>
      </c>
      <c r="D436" s="45" t="n">
        <v>0</v>
      </c>
      <c r="E436" s="45" t="n">
        <v>0</v>
      </c>
      <c r="F436" s="45" t="n">
        <v>0</v>
      </c>
      <c r="G436" s="45" t="n">
        <v>0</v>
      </c>
      <c r="H436" s="45" t="n">
        <v>0</v>
      </c>
      <c r="I436" s="45" t="n">
        <v>0</v>
      </c>
      <c r="J436" s="45" t="n">
        <v>0</v>
      </c>
      <c r="K436" s="45" t="n">
        <v>0</v>
      </c>
      <c r="L436" s="45" t="n">
        <v>0</v>
      </c>
      <c r="M436" s="45" t="n">
        <v>0</v>
      </c>
      <c r="N436" s="45" t="n">
        <v>0</v>
      </c>
    </row>
    <row r="437" customFormat="false" ht="18" hidden="false" customHeight="true" outlineLevel="0" collapsed="false">
      <c r="B437" s="36" t="s">
        <v>88</v>
      </c>
      <c r="C437" s="37" t="n">
        <v>16</v>
      </c>
      <c r="D437" s="37" t="n">
        <v>0</v>
      </c>
      <c r="E437" s="37" t="n">
        <v>0</v>
      </c>
      <c r="F437" s="37" t="n">
        <v>0</v>
      </c>
      <c r="G437" s="37" t="n">
        <v>0</v>
      </c>
      <c r="H437" s="37" t="n">
        <v>0</v>
      </c>
      <c r="I437" s="37" t="n">
        <v>0</v>
      </c>
      <c r="J437" s="37" t="n">
        <v>0</v>
      </c>
      <c r="K437" s="37" t="n">
        <v>0</v>
      </c>
      <c r="L437" s="37" t="n">
        <v>0</v>
      </c>
      <c r="M437" s="37" t="n">
        <v>0</v>
      </c>
      <c r="N437" s="37" t="n">
        <v>0</v>
      </c>
    </row>
    <row r="440" customFormat="false" ht="27.75" hidden="false" customHeight="true" outlineLevel="0" collapsed="false">
      <c r="B440" s="46" t="s">
        <v>115</v>
      </c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</row>
    <row r="441" customFormat="false" ht="3.75" hidden="false" customHeight="true" outlineLevel="0" collapsed="false"/>
    <row r="442" customFormat="false" ht="25.5" hidden="false" customHeight="true" outlineLevel="0" collapsed="false">
      <c r="B442" s="47" t="s">
        <v>38</v>
      </c>
      <c r="C442" s="47" t="s">
        <v>68</v>
      </c>
      <c r="D442" s="47" t="s">
        <v>69</v>
      </c>
      <c r="E442" s="47" t="s">
        <v>70</v>
      </c>
      <c r="F442" s="47" t="s">
        <v>71</v>
      </c>
      <c r="G442" s="47" t="s">
        <v>72</v>
      </c>
      <c r="H442" s="47" t="s">
        <v>73</v>
      </c>
      <c r="I442" s="47" t="s">
        <v>74</v>
      </c>
      <c r="J442" s="47" t="s">
        <v>75</v>
      </c>
      <c r="K442" s="47" t="s">
        <v>76</v>
      </c>
      <c r="L442" s="47" t="s">
        <v>77</v>
      </c>
      <c r="M442" s="47" t="s">
        <v>78</v>
      </c>
      <c r="N442" s="47" t="s">
        <v>79</v>
      </c>
    </row>
    <row r="443" customFormat="false" ht="18" hidden="false" customHeight="true" outlineLevel="0" collapsed="false">
      <c r="B443" s="36" t="s">
        <v>80</v>
      </c>
      <c r="C443" s="37" t="n">
        <v>16</v>
      </c>
      <c r="D443" s="37" t="n">
        <v>0</v>
      </c>
      <c r="E443" s="37" t="n">
        <v>0</v>
      </c>
      <c r="F443" s="37" t="n">
        <v>0</v>
      </c>
      <c r="G443" s="37" t="n">
        <v>0</v>
      </c>
      <c r="H443" s="37" t="n">
        <v>0</v>
      </c>
      <c r="I443" s="37" t="n">
        <v>0</v>
      </c>
      <c r="J443" s="37" t="n">
        <v>0</v>
      </c>
      <c r="K443" s="37" t="n">
        <v>0</v>
      </c>
      <c r="L443" s="37" t="n">
        <v>0</v>
      </c>
      <c r="M443" s="37" t="n">
        <v>0</v>
      </c>
      <c r="N443" s="37" t="n">
        <v>0</v>
      </c>
    </row>
    <row r="444" customFormat="false" ht="18" hidden="false" customHeight="true" outlineLevel="0" collapsed="false">
      <c r="B444" s="38" t="s">
        <v>81</v>
      </c>
      <c r="C444" s="39" t="n">
        <v>0</v>
      </c>
      <c r="D444" s="39" t="n">
        <v>0</v>
      </c>
      <c r="E444" s="39" t="n">
        <v>0</v>
      </c>
      <c r="F444" s="39" t="n">
        <v>0</v>
      </c>
      <c r="G444" s="39" t="n">
        <v>0</v>
      </c>
      <c r="H444" s="39" t="n">
        <v>0</v>
      </c>
      <c r="I444" s="39" t="n">
        <v>0</v>
      </c>
      <c r="J444" s="39" t="n">
        <v>0</v>
      </c>
      <c r="K444" s="39" t="n">
        <v>0</v>
      </c>
      <c r="L444" s="39" t="n">
        <v>0</v>
      </c>
      <c r="M444" s="39" t="n">
        <v>0</v>
      </c>
      <c r="N444" s="39" t="n">
        <v>0</v>
      </c>
    </row>
    <row r="445" customFormat="false" ht="18" hidden="false" customHeight="true" outlineLevel="0" collapsed="false">
      <c r="B445" s="40" t="s">
        <v>82</v>
      </c>
      <c r="C445" s="41" t="n">
        <v>0</v>
      </c>
      <c r="D445" s="41" t="n">
        <v>0</v>
      </c>
      <c r="E445" s="41" t="n">
        <v>0</v>
      </c>
      <c r="F445" s="41" t="n">
        <v>0</v>
      </c>
      <c r="G445" s="41" t="n">
        <v>0</v>
      </c>
      <c r="H445" s="41" t="n">
        <v>0</v>
      </c>
      <c r="I445" s="41" t="n">
        <v>0</v>
      </c>
      <c r="J445" s="41" t="n">
        <v>0</v>
      </c>
      <c r="K445" s="41" t="n">
        <v>0</v>
      </c>
      <c r="L445" s="41" t="n">
        <v>0</v>
      </c>
      <c r="M445" s="41" t="n">
        <v>0</v>
      </c>
      <c r="N445" s="41" t="n">
        <v>0</v>
      </c>
    </row>
    <row r="446" customFormat="false" ht="18" hidden="false" customHeight="true" outlineLevel="0" collapsed="false">
      <c r="B446" s="38" t="s">
        <v>83</v>
      </c>
      <c r="C446" s="39" t="n">
        <v>0</v>
      </c>
      <c r="D446" s="39" t="n">
        <v>0</v>
      </c>
      <c r="E446" s="39" t="n">
        <v>0</v>
      </c>
      <c r="F446" s="39" t="n">
        <v>0</v>
      </c>
      <c r="G446" s="39" t="n">
        <v>0</v>
      </c>
      <c r="H446" s="39" t="n">
        <v>0</v>
      </c>
      <c r="I446" s="39" t="n">
        <v>0</v>
      </c>
      <c r="J446" s="39" t="n">
        <v>0</v>
      </c>
      <c r="K446" s="39" t="n">
        <v>0</v>
      </c>
      <c r="L446" s="39" t="n">
        <v>0</v>
      </c>
      <c r="M446" s="39" t="n">
        <v>0</v>
      </c>
      <c r="N446" s="39" t="n">
        <v>0</v>
      </c>
    </row>
    <row r="447" customFormat="false" ht="18" hidden="false" customHeight="true" outlineLevel="0" collapsed="false">
      <c r="B447" s="42" t="s">
        <v>84</v>
      </c>
      <c r="C447" s="43" t="n">
        <f aca="false">SUMPRODUCT((MONTH('⚫ Confirmed Attrition'!$G$5:$G$1000)=1)*(YEAR('⚫ Confirmed Attrition'!$G$5:$G$1000)=2026)*('⚫ Confirmed Attrition'!$D$5:$D$1000="Johnny Rey Diaz Bonocan"))</f>
        <v>0</v>
      </c>
      <c r="D447" s="43" t="n">
        <f aca="false">SUMPRODUCT((MONTH('⚫ Confirmed Attrition'!$G$5:$G$1000)=2)*(YEAR('⚫ Confirmed Attrition'!$G$5:$G$1000)=2026)*('⚫ Confirmed Attrition'!$D$5:$D$1000="Johnny Rey Diaz Bonocan"))</f>
        <v>0</v>
      </c>
      <c r="E447" s="43" t="n">
        <f aca="false">SUMPRODUCT((MONTH('⚫ Confirmed Attrition'!$G$5:$G$1000)=3)*(YEAR('⚫ Confirmed Attrition'!$G$5:$G$1000)=2026)*('⚫ Confirmed Attrition'!$D$5:$D$1000="Johnny Rey Diaz Bonocan"))</f>
        <v>0</v>
      </c>
      <c r="F447" s="43" t="n">
        <f aca="false">SUMPRODUCT((MONTH('⚫ Confirmed Attrition'!$G$5:$G$1000)=4)*(YEAR('⚫ Confirmed Attrition'!$G$5:$G$1000)=2026)*('⚫ Confirmed Attrition'!$D$5:$D$1000="Johnny Rey Diaz Bonocan"))</f>
        <v>0</v>
      </c>
      <c r="G447" s="43" t="n">
        <f aca="false">SUMPRODUCT((MONTH('⚫ Confirmed Attrition'!$G$5:$G$1000)=5)*(YEAR('⚫ Confirmed Attrition'!$G$5:$G$1000)=2026)*('⚫ Confirmed Attrition'!$D$5:$D$1000="Johnny Rey Diaz Bonocan"))</f>
        <v>0</v>
      </c>
      <c r="H447" s="43" t="n">
        <f aca="false">SUMPRODUCT((MONTH('⚫ Confirmed Attrition'!$G$5:$G$1000)=6)*(YEAR('⚫ Confirmed Attrition'!$G$5:$G$1000)=2026)*('⚫ Confirmed Attrition'!$D$5:$D$1000="Johnny Rey Diaz Bonocan"))</f>
        <v>0</v>
      </c>
      <c r="I447" s="43" t="n">
        <f aca="false">SUMPRODUCT((MONTH('⚫ Confirmed Attrition'!$G$5:$G$1000)=7)*(YEAR('⚫ Confirmed Attrition'!$G$5:$G$1000)=2026)*('⚫ Confirmed Attrition'!$D$5:$D$1000="Johnny Rey Diaz Bonocan"))</f>
        <v>0</v>
      </c>
      <c r="J447" s="43" t="n">
        <f aca="false">SUMPRODUCT((MONTH('⚫ Confirmed Attrition'!$G$5:$G$1000)=8)*(YEAR('⚫ Confirmed Attrition'!$G$5:$G$1000)=2026)*('⚫ Confirmed Attrition'!$D$5:$D$1000="Johnny Rey Diaz Bonocan"))</f>
        <v>0</v>
      </c>
      <c r="K447" s="43" t="n">
        <f aca="false">SUMPRODUCT((MONTH('⚫ Confirmed Attrition'!$G$5:$G$1000)=9)*(YEAR('⚫ Confirmed Attrition'!$G$5:$G$1000)=2026)*('⚫ Confirmed Attrition'!$D$5:$D$1000="Johnny Rey Diaz Bonocan"))</f>
        <v>0</v>
      </c>
      <c r="L447" s="43" t="n">
        <f aca="false">SUMPRODUCT((MONTH('⚫ Confirmed Attrition'!$G$5:$G$1000)=10)*(YEAR('⚫ Confirmed Attrition'!$G$5:$G$1000)=2026)*('⚫ Confirmed Attrition'!$D$5:$D$1000="Johnny Rey Diaz Bonocan"))</f>
        <v>0</v>
      </c>
      <c r="M447" s="43" t="n">
        <f aca="false">SUMPRODUCT((MONTH('⚫ Confirmed Attrition'!$G$5:$G$1000)=11)*(YEAR('⚫ Confirmed Attrition'!$G$5:$G$1000)=2026)*('⚫ Confirmed Attrition'!$D$5:$D$1000="Johnny Rey Diaz Bonocan"))</f>
        <v>0</v>
      </c>
      <c r="N447" s="43" t="n">
        <f aca="false">SUMPRODUCT((MONTH('⚫ Confirmed Attrition'!$G$5:$G$1000)=12)*(YEAR('⚫ Confirmed Attrition'!$G$5:$G$1000)=2026)*('⚫ Confirmed Attrition'!$D$5:$D$1000="Johnny Rey Diaz Bonocan"))</f>
        <v>0</v>
      </c>
    </row>
    <row r="448" customFormat="false" ht="18" hidden="false" customHeight="true" outlineLevel="0" collapsed="false">
      <c r="B448" s="44" t="s">
        <v>85</v>
      </c>
      <c r="C448" s="45" t="n">
        <v>0</v>
      </c>
      <c r="D448" s="45" t="n">
        <v>0</v>
      </c>
      <c r="E448" s="45" t="n">
        <v>0</v>
      </c>
      <c r="F448" s="45" t="n">
        <v>0</v>
      </c>
      <c r="G448" s="45" t="n">
        <v>0</v>
      </c>
      <c r="H448" s="45" t="n">
        <v>0</v>
      </c>
      <c r="I448" s="45" t="n">
        <v>0</v>
      </c>
      <c r="J448" s="45" t="n">
        <v>0</v>
      </c>
      <c r="K448" s="45" t="n">
        <v>0</v>
      </c>
      <c r="L448" s="45" t="n">
        <v>0</v>
      </c>
      <c r="M448" s="45" t="n">
        <v>0</v>
      </c>
      <c r="N448" s="45" t="n">
        <v>0</v>
      </c>
    </row>
    <row r="449" customFormat="false" ht="18" hidden="false" customHeight="true" outlineLevel="0" collapsed="false">
      <c r="B449" s="44" t="s">
        <v>86</v>
      </c>
      <c r="C449" s="45" t="n">
        <v>0</v>
      </c>
      <c r="D449" s="45" t="n">
        <v>0</v>
      </c>
      <c r="E449" s="45" t="n">
        <v>0</v>
      </c>
      <c r="F449" s="45" t="n">
        <v>0</v>
      </c>
      <c r="G449" s="45" t="n">
        <v>0</v>
      </c>
      <c r="H449" s="45" t="n">
        <v>0</v>
      </c>
      <c r="I449" s="45" t="n">
        <v>0</v>
      </c>
      <c r="J449" s="45" t="n">
        <v>0</v>
      </c>
      <c r="K449" s="45" t="n">
        <v>0</v>
      </c>
      <c r="L449" s="45" t="n">
        <v>0</v>
      </c>
      <c r="M449" s="45" t="n">
        <v>0</v>
      </c>
      <c r="N449" s="45" t="n">
        <v>0</v>
      </c>
    </row>
    <row r="450" customFormat="false" ht="18" hidden="false" customHeight="true" outlineLevel="0" collapsed="false">
      <c r="B450" s="44" t="s">
        <v>87</v>
      </c>
      <c r="C450" s="45" t="n">
        <v>0</v>
      </c>
      <c r="D450" s="45" t="n">
        <v>0</v>
      </c>
      <c r="E450" s="45" t="n">
        <v>0</v>
      </c>
      <c r="F450" s="45" t="n">
        <v>0</v>
      </c>
      <c r="G450" s="45" t="n">
        <v>0</v>
      </c>
      <c r="H450" s="45" t="n">
        <v>0</v>
      </c>
      <c r="I450" s="45" t="n">
        <v>0</v>
      </c>
      <c r="J450" s="45" t="n">
        <v>0</v>
      </c>
      <c r="K450" s="45" t="n">
        <v>0</v>
      </c>
      <c r="L450" s="45" t="n">
        <v>0</v>
      </c>
      <c r="M450" s="45" t="n">
        <v>0</v>
      </c>
      <c r="N450" s="45" t="n">
        <v>0</v>
      </c>
    </row>
    <row r="451" customFormat="false" ht="18" hidden="false" customHeight="true" outlineLevel="0" collapsed="false">
      <c r="B451" s="36" t="s">
        <v>88</v>
      </c>
      <c r="C451" s="37" t="n">
        <v>16</v>
      </c>
      <c r="D451" s="37" t="n">
        <v>0</v>
      </c>
      <c r="E451" s="37" t="n">
        <v>0</v>
      </c>
      <c r="F451" s="37" t="n">
        <v>0</v>
      </c>
      <c r="G451" s="37" t="n">
        <v>0</v>
      </c>
      <c r="H451" s="37" t="n">
        <v>0</v>
      </c>
      <c r="I451" s="37" t="n">
        <v>0</v>
      </c>
      <c r="J451" s="37" t="n">
        <v>0</v>
      </c>
      <c r="K451" s="37" t="n">
        <v>0</v>
      </c>
      <c r="L451" s="37" t="n">
        <v>0</v>
      </c>
      <c r="M451" s="37" t="n">
        <v>0</v>
      </c>
      <c r="N451" s="37" t="n">
        <v>0</v>
      </c>
    </row>
    <row r="454" customFormat="false" ht="27.75" hidden="false" customHeight="true" outlineLevel="0" collapsed="false">
      <c r="B454" s="46" t="s">
        <v>116</v>
      </c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</row>
    <row r="455" customFormat="false" ht="3.75" hidden="false" customHeight="true" outlineLevel="0" collapsed="false"/>
    <row r="456" customFormat="false" ht="25.5" hidden="false" customHeight="true" outlineLevel="0" collapsed="false">
      <c r="B456" s="47" t="s">
        <v>39</v>
      </c>
      <c r="C456" s="47" t="s">
        <v>68</v>
      </c>
      <c r="D456" s="47" t="s">
        <v>69</v>
      </c>
      <c r="E456" s="47" t="s">
        <v>70</v>
      </c>
      <c r="F456" s="47" t="s">
        <v>71</v>
      </c>
      <c r="G456" s="47" t="s">
        <v>72</v>
      </c>
      <c r="H456" s="47" t="s">
        <v>73</v>
      </c>
      <c r="I456" s="47" t="s">
        <v>74</v>
      </c>
      <c r="J456" s="47" t="s">
        <v>75</v>
      </c>
      <c r="K456" s="47" t="s">
        <v>76</v>
      </c>
      <c r="L456" s="47" t="s">
        <v>77</v>
      </c>
      <c r="M456" s="47" t="s">
        <v>78</v>
      </c>
      <c r="N456" s="47" t="s">
        <v>79</v>
      </c>
    </row>
    <row r="457" customFormat="false" ht="18" hidden="false" customHeight="true" outlineLevel="0" collapsed="false">
      <c r="B457" s="36" t="s">
        <v>80</v>
      </c>
      <c r="C457" s="37" t="n">
        <v>15</v>
      </c>
      <c r="D457" s="37" t="n">
        <v>0</v>
      </c>
      <c r="E457" s="37" t="n">
        <v>0</v>
      </c>
      <c r="F457" s="37" t="n">
        <v>0</v>
      </c>
      <c r="G457" s="37" t="n">
        <v>0</v>
      </c>
      <c r="H457" s="37" t="n">
        <v>0</v>
      </c>
      <c r="I457" s="37" t="n">
        <v>0</v>
      </c>
      <c r="J457" s="37" t="n">
        <v>0</v>
      </c>
      <c r="K457" s="37" t="n">
        <v>0</v>
      </c>
      <c r="L457" s="37" t="n">
        <v>0</v>
      </c>
      <c r="M457" s="37" t="n">
        <v>0</v>
      </c>
      <c r="N457" s="37" t="n">
        <v>0</v>
      </c>
    </row>
    <row r="458" customFormat="false" ht="18" hidden="false" customHeight="true" outlineLevel="0" collapsed="false">
      <c r="B458" s="38" t="s">
        <v>81</v>
      </c>
      <c r="C458" s="39" t="n">
        <v>0</v>
      </c>
      <c r="D458" s="39" t="n">
        <v>0</v>
      </c>
      <c r="E458" s="39" t="n">
        <v>0</v>
      </c>
      <c r="F458" s="39" t="n">
        <v>0</v>
      </c>
      <c r="G458" s="39" t="n">
        <v>0</v>
      </c>
      <c r="H458" s="39" t="n">
        <v>0</v>
      </c>
      <c r="I458" s="39" t="n">
        <v>0</v>
      </c>
      <c r="J458" s="39" t="n">
        <v>0</v>
      </c>
      <c r="K458" s="39" t="n">
        <v>0</v>
      </c>
      <c r="L458" s="39" t="n">
        <v>0</v>
      </c>
      <c r="M458" s="39" t="n">
        <v>0</v>
      </c>
      <c r="N458" s="39" t="n">
        <v>0</v>
      </c>
    </row>
    <row r="459" customFormat="false" ht="18" hidden="false" customHeight="true" outlineLevel="0" collapsed="false">
      <c r="B459" s="40" t="s">
        <v>82</v>
      </c>
      <c r="C459" s="41" t="n">
        <v>0</v>
      </c>
      <c r="D459" s="41" t="n">
        <v>0</v>
      </c>
      <c r="E459" s="41" t="n">
        <v>0</v>
      </c>
      <c r="F459" s="41" t="n">
        <v>0</v>
      </c>
      <c r="G459" s="41" t="n">
        <v>0</v>
      </c>
      <c r="H459" s="41" t="n">
        <v>0</v>
      </c>
      <c r="I459" s="41" t="n">
        <v>0</v>
      </c>
      <c r="J459" s="41" t="n">
        <v>0</v>
      </c>
      <c r="K459" s="41" t="n">
        <v>0</v>
      </c>
      <c r="L459" s="41" t="n">
        <v>0</v>
      </c>
      <c r="M459" s="41" t="n">
        <v>0</v>
      </c>
      <c r="N459" s="41" t="n">
        <v>0</v>
      </c>
    </row>
    <row r="460" customFormat="false" ht="18" hidden="false" customHeight="true" outlineLevel="0" collapsed="false">
      <c r="B460" s="38" t="s">
        <v>83</v>
      </c>
      <c r="C460" s="39" t="n">
        <v>0</v>
      </c>
      <c r="D460" s="39" t="n">
        <v>0</v>
      </c>
      <c r="E460" s="39" t="n">
        <v>0</v>
      </c>
      <c r="F460" s="39" t="n">
        <v>0</v>
      </c>
      <c r="G460" s="39" t="n">
        <v>0</v>
      </c>
      <c r="H460" s="39" t="n">
        <v>0</v>
      </c>
      <c r="I460" s="39" t="n">
        <v>0</v>
      </c>
      <c r="J460" s="39" t="n">
        <v>0</v>
      </c>
      <c r="K460" s="39" t="n">
        <v>0</v>
      </c>
      <c r="L460" s="39" t="n">
        <v>0</v>
      </c>
      <c r="M460" s="39" t="n">
        <v>0</v>
      </c>
      <c r="N460" s="39" t="n">
        <v>0</v>
      </c>
    </row>
    <row r="461" customFormat="false" ht="18" hidden="false" customHeight="true" outlineLevel="0" collapsed="false">
      <c r="B461" s="42" t="s">
        <v>84</v>
      </c>
      <c r="C461" s="43" t="n">
        <f aca="false">SUMPRODUCT((MONTH('⚫ Confirmed Attrition'!$G$5:$G$1000)=1)*(YEAR('⚫ Confirmed Attrition'!$G$5:$G$1000)=2026)*('⚫ Confirmed Attrition'!$D$5:$D$1000="Joseph Andrew Cera Ballesteros"))</f>
        <v>0</v>
      </c>
      <c r="D461" s="43" t="n">
        <f aca="false">SUMPRODUCT((MONTH('⚫ Confirmed Attrition'!$G$5:$G$1000)=2)*(YEAR('⚫ Confirmed Attrition'!$G$5:$G$1000)=2026)*('⚫ Confirmed Attrition'!$D$5:$D$1000="Joseph Andrew Cera Ballesteros"))</f>
        <v>0</v>
      </c>
      <c r="E461" s="43" t="n">
        <f aca="false">SUMPRODUCT((MONTH('⚫ Confirmed Attrition'!$G$5:$G$1000)=3)*(YEAR('⚫ Confirmed Attrition'!$G$5:$G$1000)=2026)*('⚫ Confirmed Attrition'!$D$5:$D$1000="Joseph Andrew Cera Ballesteros"))</f>
        <v>0</v>
      </c>
      <c r="F461" s="43" t="n">
        <f aca="false">SUMPRODUCT((MONTH('⚫ Confirmed Attrition'!$G$5:$G$1000)=4)*(YEAR('⚫ Confirmed Attrition'!$G$5:$G$1000)=2026)*('⚫ Confirmed Attrition'!$D$5:$D$1000="Joseph Andrew Cera Ballesteros"))</f>
        <v>0</v>
      </c>
      <c r="G461" s="43" t="n">
        <f aca="false">SUMPRODUCT((MONTH('⚫ Confirmed Attrition'!$G$5:$G$1000)=5)*(YEAR('⚫ Confirmed Attrition'!$G$5:$G$1000)=2026)*('⚫ Confirmed Attrition'!$D$5:$D$1000="Joseph Andrew Cera Ballesteros"))</f>
        <v>0</v>
      </c>
      <c r="H461" s="43" t="n">
        <f aca="false">SUMPRODUCT((MONTH('⚫ Confirmed Attrition'!$G$5:$G$1000)=6)*(YEAR('⚫ Confirmed Attrition'!$G$5:$G$1000)=2026)*('⚫ Confirmed Attrition'!$D$5:$D$1000="Joseph Andrew Cera Ballesteros"))</f>
        <v>0</v>
      </c>
      <c r="I461" s="43" t="n">
        <f aca="false">SUMPRODUCT((MONTH('⚫ Confirmed Attrition'!$G$5:$G$1000)=7)*(YEAR('⚫ Confirmed Attrition'!$G$5:$G$1000)=2026)*('⚫ Confirmed Attrition'!$D$5:$D$1000="Joseph Andrew Cera Ballesteros"))</f>
        <v>0</v>
      </c>
      <c r="J461" s="43" t="n">
        <f aca="false">SUMPRODUCT((MONTH('⚫ Confirmed Attrition'!$G$5:$G$1000)=8)*(YEAR('⚫ Confirmed Attrition'!$G$5:$G$1000)=2026)*('⚫ Confirmed Attrition'!$D$5:$D$1000="Joseph Andrew Cera Ballesteros"))</f>
        <v>0</v>
      </c>
      <c r="K461" s="43" t="n">
        <f aca="false">SUMPRODUCT((MONTH('⚫ Confirmed Attrition'!$G$5:$G$1000)=9)*(YEAR('⚫ Confirmed Attrition'!$G$5:$G$1000)=2026)*('⚫ Confirmed Attrition'!$D$5:$D$1000="Joseph Andrew Cera Ballesteros"))</f>
        <v>0</v>
      </c>
      <c r="L461" s="43" t="n">
        <f aca="false">SUMPRODUCT((MONTH('⚫ Confirmed Attrition'!$G$5:$G$1000)=10)*(YEAR('⚫ Confirmed Attrition'!$G$5:$G$1000)=2026)*('⚫ Confirmed Attrition'!$D$5:$D$1000="Joseph Andrew Cera Ballesteros"))</f>
        <v>0</v>
      </c>
      <c r="M461" s="43" t="n">
        <f aca="false">SUMPRODUCT((MONTH('⚫ Confirmed Attrition'!$G$5:$G$1000)=11)*(YEAR('⚫ Confirmed Attrition'!$G$5:$G$1000)=2026)*('⚫ Confirmed Attrition'!$D$5:$D$1000="Joseph Andrew Cera Ballesteros"))</f>
        <v>0</v>
      </c>
      <c r="N461" s="43" t="n">
        <f aca="false">SUMPRODUCT((MONTH('⚫ Confirmed Attrition'!$G$5:$G$1000)=12)*(YEAR('⚫ Confirmed Attrition'!$G$5:$G$1000)=2026)*('⚫ Confirmed Attrition'!$D$5:$D$1000="Joseph Andrew Cera Ballesteros"))</f>
        <v>0</v>
      </c>
    </row>
    <row r="462" customFormat="false" ht="18" hidden="false" customHeight="true" outlineLevel="0" collapsed="false">
      <c r="B462" s="44" t="s">
        <v>85</v>
      </c>
      <c r="C462" s="45" t="n">
        <v>0</v>
      </c>
      <c r="D462" s="45" t="n">
        <v>0</v>
      </c>
      <c r="E462" s="45" t="n">
        <v>0</v>
      </c>
      <c r="F462" s="45" t="n">
        <v>0</v>
      </c>
      <c r="G462" s="45" t="n">
        <v>0</v>
      </c>
      <c r="H462" s="45" t="n">
        <v>0</v>
      </c>
      <c r="I462" s="45" t="n">
        <v>0</v>
      </c>
      <c r="J462" s="45" t="n">
        <v>0</v>
      </c>
      <c r="K462" s="45" t="n">
        <v>0</v>
      </c>
      <c r="L462" s="45" t="n">
        <v>0</v>
      </c>
      <c r="M462" s="45" t="n">
        <v>0</v>
      </c>
      <c r="N462" s="45" t="n">
        <v>0</v>
      </c>
    </row>
    <row r="463" customFormat="false" ht="18" hidden="false" customHeight="true" outlineLevel="0" collapsed="false">
      <c r="B463" s="44" t="s">
        <v>86</v>
      </c>
      <c r="C463" s="45" t="n">
        <v>0</v>
      </c>
      <c r="D463" s="45" t="n">
        <v>0</v>
      </c>
      <c r="E463" s="45" t="n">
        <v>0</v>
      </c>
      <c r="F463" s="45" t="n">
        <v>0</v>
      </c>
      <c r="G463" s="45" t="n">
        <v>0</v>
      </c>
      <c r="H463" s="45" t="n">
        <v>0</v>
      </c>
      <c r="I463" s="45" t="n">
        <v>0</v>
      </c>
      <c r="J463" s="45" t="n">
        <v>0</v>
      </c>
      <c r="K463" s="45" t="n">
        <v>0</v>
      </c>
      <c r="L463" s="45" t="n">
        <v>0</v>
      </c>
      <c r="M463" s="45" t="n">
        <v>0</v>
      </c>
      <c r="N463" s="45" t="n">
        <v>0</v>
      </c>
    </row>
    <row r="464" customFormat="false" ht="18" hidden="false" customHeight="true" outlineLevel="0" collapsed="false">
      <c r="B464" s="44" t="s">
        <v>87</v>
      </c>
      <c r="C464" s="45" t="n">
        <v>0</v>
      </c>
      <c r="D464" s="45" t="n">
        <v>0</v>
      </c>
      <c r="E464" s="45" t="n">
        <v>0</v>
      </c>
      <c r="F464" s="45" t="n">
        <v>0</v>
      </c>
      <c r="G464" s="45" t="n">
        <v>0</v>
      </c>
      <c r="H464" s="45" t="n">
        <v>0</v>
      </c>
      <c r="I464" s="45" t="n">
        <v>0</v>
      </c>
      <c r="J464" s="45" t="n">
        <v>0</v>
      </c>
      <c r="K464" s="45" t="n">
        <v>0</v>
      </c>
      <c r="L464" s="45" t="n">
        <v>0</v>
      </c>
      <c r="M464" s="45" t="n">
        <v>0</v>
      </c>
      <c r="N464" s="45" t="n">
        <v>0</v>
      </c>
    </row>
    <row r="465" customFormat="false" ht="18" hidden="false" customHeight="true" outlineLevel="0" collapsed="false">
      <c r="B465" s="36" t="s">
        <v>88</v>
      </c>
      <c r="C465" s="37" t="n">
        <v>15</v>
      </c>
      <c r="D465" s="37" t="n">
        <v>0</v>
      </c>
      <c r="E465" s="37" t="n">
        <v>0</v>
      </c>
      <c r="F465" s="37" t="n">
        <v>0</v>
      </c>
      <c r="G465" s="37" t="n">
        <v>0</v>
      </c>
      <c r="H465" s="37" t="n">
        <v>0</v>
      </c>
      <c r="I465" s="37" t="n">
        <v>0</v>
      </c>
      <c r="J465" s="37" t="n">
        <v>0</v>
      </c>
      <c r="K465" s="37" t="n">
        <v>0</v>
      </c>
      <c r="L465" s="37" t="n">
        <v>0</v>
      </c>
      <c r="M465" s="37" t="n">
        <v>0</v>
      </c>
      <c r="N465" s="37" t="n">
        <v>0</v>
      </c>
    </row>
    <row r="468" customFormat="false" ht="27.75" hidden="false" customHeight="true" outlineLevel="0" collapsed="false">
      <c r="B468" s="46" t="s">
        <v>117</v>
      </c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</row>
    <row r="469" customFormat="false" ht="3.75" hidden="false" customHeight="true" outlineLevel="0" collapsed="false"/>
    <row r="470" customFormat="false" ht="25.5" hidden="false" customHeight="true" outlineLevel="0" collapsed="false">
      <c r="B470" s="47" t="s">
        <v>40</v>
      </c>
      <c r="C470" s="47" t="s">
        <v>68</v>
      </c>
      <c r="D470" s="47" t="s">
        <v>69</v>
      </c>
      <c r="E470" s="47" t="s">
        <v>70</v>
      </c>
      <c r="F470" s="47" t="s">
        <v>71</v>
      </c>
      <c r="G470" s="47" t="s">
        <v>72</v>
      </c>
      <c r="H470" s="47" t="s">
        <v>73</v>
      </c>
      <c r="I470" s="47" t="s">
        <v>74</v>
      </c>
      <c r="J470" s="47" t="s">
        <v>75</v>
      </c>
      <c r="K470" s="47" t="s">
        <v>76</v>
      </c>
      <c r="L470" s="47" t="s">
        <v>77</v>
      </c>
      <c r="M470" s="47" t="s">
        <v>78</v>
      </c>
      <c r="N470" s="47" t="s">
        <v>79</v>
      </c>
    </row>
    <row r="471" customFormat="false" ht="18" hidden="false" customHeight="true" outlineLevel="0" collapsed="false">
      <c r="B471" s="36" t="s">
        <v>80</v>
      </c>
      <c r="C471" s="37" t="n">
        <v>21</v>
      </c>
      <c r="D471" s="37" t="n">
        <v>0</v>
      </c>
      <c r="E471" s="37" t="n">
        <v>0</v>
      </c>
      <c r="F471" s="37" t="n">
        <v>0</v>
      </c>
      <c r="G471" s="37" t="n">
        <v>0</v>
      </c>
      <c r="H471" s="37" t="n">
        <v>0</v>
      </c>
      <c r="I471" s="37" t="n">
        <v>0</v>
      </c>
      <c r="J471" s="37" t="n">
        <v>0</v>
      </c>
      <c r="K471" s="37" t="n">
        <v>0</v>
      </c>
      <c r="L471" s="37" t="n">
        <v>0</v>
      </c>
      <c r="M471" s="37" t="n">
        <v>0</v>
      </c>
      <c r="N471" s="37" t="n">
        <v>0</v>
      </c>
    </row>
    <row r="472" customFormat="false" ht="18" hidden="false" customHeight="true" outlineLevel="0" collapsed="false">
      <c r="B472" s="38" t="s">
        <v>81</v>
      </c>
      <c r="C472" s="39" t="n">
        <v>0</v>
      </c>
      <c r="D472" s="39" t="n">
        <v>0</v>
      </c>
      <c r="E472" s="39" t="n">
        <v>0</v>
      </c>
      <c r="F472" s="39" t="n">
        <v>0</v>
      </c>
      <c r="G472" s="39" t="n">
        <v>0</v>
      </c>
      <c r="H472" s="39" t="n">
        <v>0</v>
      </c>
      <c r="I472" s="39" t="n">
        <v>0</v>
      </c>
      <c r="J472" s="39" t="n">
        <v>0</v>
      </c>
      <c r="K472" s="39" t="n">
        <v>0</v>
      </c>
      <c r="L472" s="39" t="n">
        <v>0</v>
      </c>
      <c r="M472" s="39" t="n">
        <v>0</v>
      </c>
      <c r="N472" s="39" t="n">
        <v>0</v>
      </c>
    </row>
    <row r="473" customFormat="false" ht="18" hidden="false" customHeight="true" outlineLevel="0" collapsed="false">
      <c r="B473" s="40" t="s">
        <v>82</v>
      </c>
      <c r="C473" s="41" t="n">
        <v>0</v>
      </c>
      <c r="D473" s="41" t="n">
        <v>0</v>
      </c>
      <c r="E473" s="41" t="n">
        <v>0</v>
      </c>
      <c r="F473" s="41" t="n">
        <v>0</v>
      </c>
      <c r="G473" s="41" t="n">
        <v>0</v>
      </c>
      <c r="H473" s="41" t="n">
        <v>0</v>
      </c>
      <c r="I473" s="41" t="n">
        <v>0</v>
      </c>
      <c r="J473" s="41" t="n">
        <v>0</v>
      </c>
      <c r="K473" s="41" t="n">
        <v>0</v>
      </c>
      <c r="L473" s="41" t="n">
        <v>0</v>
      </c>
      <c r="M473" s="41" t="n">
        <v>0</v>
      </c>
      <c r="N473" s="41" t="n">
        <v>0</v>
      </c>
    </row>
    <row r="474" customFormat="false" ht="18" hidden="false" customHeight="true" outlineLevel="0" collapsed="false">
      <c r="B474" s="38" t="s">
        <v>83</v>
      </c>
      <c r="C474" s="39" t="n">
        <v>0</v>
      </c>
      <c r="D474" s="39" t="n">
        <v>0</v>
      </c>
      <c r="E474" s="39" t="n">
        <v>0</v>
      </c>
      <c r="F474" s="39" t="n">
        <v>0</v>
      </c>
      <c r="G474" s="39" t="n">
        <v>0</v>
      </c>
      <c r="H474" s="39" t="n">
        <v>0</v>
      </c>
      <c r="I474" s="39" t="n">
        <v>0</v>
      </c>
      <c r="J474" s="39" t="n">
        <v>0</v>
      </c>
      <c r="K474" s="39" t="n">
        <v>0</v>
      </c>
      <c r="L474" s="39" t="n">
        <v>0</v>
      </c>
      <c r="M474" s="39" t="n">
        <v>0</v>
      </c>
      <c r="N474" s="39" t="n">
        <v>0</v>
      </c>
    </row>
    <row r="475" customFormat="false" ht="18" hidden="false" customHeight="true" outlineLevel="0" collapsed="false">
      <c r="B475" s="42" t="s">
        <v>84</v>
      </c>
      <c r="C475" s="43" t="n">
        <f aca="false">SUMPRODUCT((MONTH('⚫ Confirmed Attrition'!$G$5:$G$1000)=1)*(YEAR('⚫ Confirmed Attrition'!$G$5:$G$1000)=2026)*('⚫ Confirmed Attrition'!$D$5:$D$1000="Kathrina Mae Suycano Silangan"))</f>
        <v>0</v>
      </c>
      <c r="D475" s="43" t="n">
        <f aca="false">SUMPRODUCT((MONTH('⚫ Confirmed Attrition'!$G$5:$G$1000)=2)*(YEAR('⚫ Confirmed Attrition'!$G$5:$G$1000)=2026)*('⚫ Confirmed Attrition'!$D$5:$D$1000="Kathrina Mae Suycano Silangan"))</f>
        <v>0</v>
      </c>
      <c r="E475" s="43" t="n">
        <f aca="false">SUMPRODUCT((MONTH('⚫ Confirmed Attrition'!$G$5:$G$1000)=3)*(YEAR('⚫ Confirmed Attrition'!$G$5:$G$1000)=2026)*('⚫ Confirmed Attrition'!$D$5:$D$1000="Kathrina Mae Suycano Silangan"))</f>
        <v>0</v>
      </c>
      <c r="F475" s="43" t="n">
        <f aca="false">SUMPRODUCT((MONTH('⚫ Confirmed Attrition'!$G$5:$G$1000)=4)*(YEAR('⚫ Confirmed Attrition'!$G$5:$G$1000)=2026)*('⚫ Confirmed Attrition'!$D$5:$D$1000="Kathrina Mae Suycano Silangan"))</f>
        <v>0</v>
      </c>
      <c r="G475" s="43" t="n">
        <f aca="false">SUMPRODUCT((MONTH('⚫ Confirmed Attrition'!$G$5:$G$1000)=5)*(YEAR('⚫ Confirmed Attrition'!$G$5:$G$1000)=2026)*('⚫ Confirmed Attrition'!$D$5:$D$1000="Kathrina Mae Suycano Silangan"))</f>
        <v>0</v>
      </c>
      <c r="H475" s="43" t="n">
        <f aca="false">SUMPRODUCT((MONTH('⚫ Confirmed Attrition'!$G$5:$G$1000)=6)*(YEAR('⚫ Confirmed Attrition'!$G$5:$G$1000)=2026)*('⚫ Confirmed Attrition'!$D$5:$D$1000="Kathrina Mae Suycano Silangan"))</f>
        <v>0</v>
      </c>
      <c r="I475" s="43" t="n">
        <f aca="false">SUMPRODUCT((MONTH('⚫ Confirmed Attrition'!$G$5:$G$1000)=7)*(YEAR('⚫ Confirmed Attrition'!$G$5:$G$1000)=2026)*('⚫ Confirmed Attrition'!$D$5:$D$1000="Kathrina Mae Suycano Silangan"))</f>
        <v>0</v>
      </c>
      <c r="J475" s="43" t="n">
        <f aca="false">SUMPRODUCT((MONTH('⚫ Confirmed Attrition'!$G$5:$G$1000)=8)*(YEAR('⚫ Confirmed Attrition'!$G$5:$G$1000)=2026)*('⚫ Confirmed Attrition'!$D$5:$D$1000="Kathrina Mae Suycano Silangan"))</f>
        <v>0</v>
      </c>
      <c r="K475" s="43" t="n">
        <f aca="false">SUMPRODUCT((MONTH('⚫ Confirmed Attrition'!$G$5:$G$1000)=9)*(YEAR('⚫ Confirmed Attrition'!$G$5:$G$1000)=2026)*('⚫ Confirmed Attrition'!$D$5:$D$1000="Kathrina Mae Suycano Silangan"))</f>
        <v>0</v>
      </c>
      <c r="L475" s="43" t="n">
        <f aca="false">SUMPRODUCT((MONTH('⚫ Confirmed Attrition'!$G$5:$G$1000)=10)*(YEAR('⚫ Confirmed Attrition'!$G$5:$G$1000)=2026)*('⚫ Confirmed Attrition'!$D$5:$D$1000="Kathrina Mae Suycano Silangan"))</f>
        <v>0</v>
      </c>
      <c r="M475" s="43" t="n">
        <f aca="false">SUMPRODUCT((MONTH('⚫ Confirmed Attrition'!$G$5:$G$1000)=11)*(YEAR('⚫ Confirmed Attrition'!$G$5:$G$1000)=2026)*('⚫ Confirmed Attrition'!$D$5:$D$1000="Kathrina Mae Suycano Silangan"))</f>
        <v>0</v>
      </c>
      <c r="N475" s="43" t="n">
        <f aca="false">SUMPRODUCT((MONTH('⚫ Confirmed Attrition'!$G$5:$G$1000)=12)*(YEAR('⚫ Confirmed Attrition'!$G$5:$G$1000)=2026)*('⚫ Confirmed Attrition'!$D$5:$D$1000="Kathrina Mae Suycano Silangan"))</f>
        <v>0</v>
      </c>
    </row>
    <row r="476" customFormat="false" ht="18" hidden="false" customHeight="true" outlineLevel="0" collapsed="false">
      <c r="B476" s="44" t="s">
        <v>85</v>
      </c>
      <c r="C476" s="45" t="n">
        <v>0</v>
      </c>
      <c r="D476" s="45" t="n">
        <v>0</v>
      </c>
      <c r="E476" s="45" t="n">
        <v>0</v>
      </c>
      <c r="F476" s="45" t="n">
        <v>0</v>
      </c>
      <c r="G476" s="45" t="n">
        <v>0</v>
      </c>
      <c r="H476" s="45" t="n">
        <v>0</v>
      </c>
      <c r="I476" s="45" t="n">
        <v>0</v>
      </c>
      <c r="J476" s="45" t="n">
        <v>0</v>
      </c>
      <c r="K476" s="45" t="n">
        <v>0</v>
      </c>
      <c r="L476" s="45" t="n">
        <v>0</v>
      </c>
      <c r="M476" s="45" t="n">
        <v>0</v>
      </c>
      <c r="N476" s="45" t="n">
        <v>0</v>
      </c>
    </row>
    <row r="477" customFormat="false" ht="18" hidden="false" customHeight="true" outlineLevel="0" collapsed="false">
      <c r="B477" s="44" t="s">
        <v>86</v>
      </c>
      <c r="C477" s="45" t="n">
        <v>0</v>
      </c>
      <c r="D477" s="45" t="n">
        <v>0</v>
      </c>
      <c r="E477" s="45" t="n">
        <v>0</v>
      </c>
      <c r="F477" s="45" t="n">
        <v>0</v>
      </c>
      <c r="G477" s="45" t="n">
        <v>0</v>
      </c>
      <c r="H477" s="45" t="n">
        <v>0</v>
      </c>
      <c r="I477" s="45" t="n">
        <v>0</v>
      </c>
      <c r="J477" s="45" t="n">
        <v>0</v>
      </c>
      <c r="K477" s="45" t="n">
        <v>0</v>
      </c>
      <c r="L477" s="45" t="n">
        <v>0</v>
      </c>
      <c r="M477" s="45" t="n">
        <v>0</v>
      </c>
      <c r="N477" s="45" t="n">
        <v>0</v>
      </c>
    </row>
    <row r="478" customFormat="false" ht="18" hidden="false" customHeight="true" outlineLevel="0" collapsed="false">
      <c r="B478" s="44" t="s">
        <v>87</v>
      </c>
      <c r="C478" s="45" t="n">
        <v>0</v>
      </c>
      <c r="D478" s="45" t="n">
        <v>0</v>
      </c>
      <c r="E478" s="45" t="n">
        <v>0</v>
      </c>
      <c r="F478" s="45" t="n">
        <v>0</v>
      </c>
      <c r="G478" s="45" t="n">
        <v>0</v>
      </c>
      <c r="H478" s="45" t="n">
        <v>0</v>
      </c>
      <c r="I478" s="45" t="n">
        <v>0</v>
      </c>
      <c r="J478" s="45" t="n">
        <v>0</v>
      </c>
      <c r="K478" s="45" t="n">
        <v>0</v>
      </c>
      <c r="L478" s="45" t="n">
        <v>0</v>
      </c>
      <c r="M478" s="45" t="n">
        <v>0</v>
      </c>
      <c r="N478" s="45" t="n">
        <v>0</v>
      </c>
    </row>
    <row r="479" customFormat="false" ht="18" hidden="false" customHeight="true" outlineLevel="0" collapsed="false">
      <c r="B479" s="36" t="s">
        <v>88</v>
      </c>
      <c r="C479" s="37" t="n">
        <v>21</v>
      </c>
      <c r="D479" s="37" t="n">
        <v>0</v>
      </c>
      <c r="E479" s="37" t="n">
        <v>0</v>
      </c>
      <c r="F479" s="37" t="n">
        <v>0</v>
      </c>
      <c r="G479" s="37" t="n">
        <v>0</v>
      </c>
      <c r="H479" s="37" t="n">
        <v>0</v>
      </c>
      <c r="I479" s="37" t="n">
        <v>0</v>
      </c>
      <c r="J479" s="37" t="n">
        <v>0</v>
      </c>
      <c r="K479" s="37" t="n">
        <v>0</v>
      </c>
      <c r="L479" s="37" t="n">
        <v>0</v>
      </c>
      <c r="M479" s="37" t="n">
        <v>0</v>
      </c>
      <c r="N479" s="37" t="n">
        <v>0</v>
      </c>
    </row>
    <row r="482" customFormat="false" ht="27.75" hidden="false" customHeight="true" outlineLevel="0" collapsed="false">
      <c r="B482" s="46" t="s">
        <v>118</v>
      </c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</row>
    <row r="483" customFormat="false" ht="3.75" hidden="false" customHeight="true" outlineLevel="0" collapsed="false"/>
    <row r="484" customFormat="false" ht="25.5" hidden="false" customHeight="true" outlineLevel="0" collapsed="false">
      <c r="B484" s="47" t="s">
        <v>41</v>
      </c>
      <c r="C484" s="47" t="s">
        <v>68</v>
      </c>
      <c r="D484" s="47" t="s">
        <v>69</v>
      </c>
      <c r="E484" s="47" t="s">
        <v>70</v>
      </c>
      <c r="F484" s="47" t="s">
        <v>71</v>
      </c>
      <c r="G484" s="47" t="s">
        <v>72</v>
      </c>
      <c r="H484" s="47" t="s">
        <v>73</v>
      </c>
      <c r="I484" s="47" t="s">
        <v>74</v>
      </c>
      <c r="J484" s="47" t="s">
        <v>75</v>
      </c>
      <c r="K484" s="47" t="s">
        <v>76</v>
      </c>
      <c r="L484" s="47" t="s">
        <v>77</v>
      </c>
      <c r="M484" s="47" t="s">
        <v>78</v>
      </c>
      <c r="N484" s="47" t="s">
        <v>79</v>
      </c>
    </row>
    <row r="485" customFormat="false" ht="18" hidden="false" customHeight="true" outlineLevel="0" collapsed="false">
      <c r="B485" s="36" t="s">
        <v>80</v>
      </c>
      <c r="C485" s="37" t="n">
        <v>19</v>
      </c>
      <c r="D485" s="37" t="n">
        <v>0</v>
      </c>
      <c r="E485" s="37" t="n">
        <v>0</v>
      </c>
      <c r="F485" s="37" t="n">
        <v>0</v>
      </c>
      <c r="G485" s="37" t="n">
        <v>0</v>
      </c>
      <c r="H485" s="37" t="n">
        <v>0</v>
      </c>
      <c r="I485" s="37" t="n">
        <v>0</v>
      </c>
      <c r="J485" s="37" t="n">
        <v>0</v>
      </c>
      <c r="K485" s="37" t="n">
        <v>0</v>
      </c>
      <c r="L485" s="37" t="n">
        <v>0</v>
      </c>
      <c r="M485" s="37" t="n">
        <v>0</v>
      </c>
      <c r="N485" s="37" t="n">
        <v>0</v>
      </c>
    </row>
    <row r="486" customFormat="false" ht="18" hidden="false" customHeight="true" outlineLevel="0" collapsed="false">
      <c r="B486" s="38" t="s">
        <v>81</v>
      </c>
      <c r="C486" s="39" t="n">
        <v>0</v>
      </c>
      <c r="D486" s="39" t="n">
        <v>0</v>
      </c>
      <c r="E486" s="39" t="n">
        <v>0</v>
      </c>
      <c r="F486" s="39" t="n">
        <v>0</v>
      </c>
      <c r="G486" s="39" t="n">
        <v>0</v>
      </c>
      <c r="H486" s="39" t="n">
        <v>0</v>
      </c>
      <c r="I486" s="39" t="n">
        <v>0</v>
      </c>
      <c r="J486" s="39" t="n">
        <v>0</v>
      </c>
      <c r="K486" s="39" t="n">
        <v>0</v>
      </c>
      <c r="L486" s="39" t="n">
        <v>0</v>
      </c>
      <c r="M486" s="39" t="n">
        <v>0</v>
      </c>
      <c r="N486" s="39" t="n">
        <v>0</v>
      </c>
    </row>
    <row r="487" customFormat="false" ht="18" hidden="false" customHeight="true" outlineLevel="0" collapsed="false">
      <c r="B487" s="40" t="s">
        <v>82</v>
      </c>
      <c r="C487" s="41" t="n">
        <v>0</v>
      </c>
      <c r="D487" s="41" t="n">
        <v>0</v>
      </c>
      <c r="E487" s="41" t="n">
        <v>0</v>
      </c>
      <c r="F487" s="41" t="n">
        <v>0</v>
      </c>
      <c r="G487" s="41" t="n">
        <v>0</v>
      </c>
      <c r="H487" s="41" t="n">
        <v>0</v>
      </c>
      <c r="I487" s="41" t="n">
        <v>0</v>
      </c>
      <c r="J487" s="41" t="n">
        <v>0</v>
      </c>
      <c r="K487" s="41" t="n">
        <v>0</v>
      </c>
      <c r="L487" s="41" t="n">
        <v>0</v>
      </c>
      <c r="M487" s="41" t="n">
        <v>0</v>
      </c>
      <c r="N487" s="41" t="n">
        <v>0</v>
      </c>
    </row>
    <row r="488" customFormat="false" ht="18" hidden="false" customHeight="true" outlineLevel="0" collapsed="false">
      <c r="B488" s="38" t="s">
        <v>83</v>
      </c>
      <c r="C488" s="39" t="n">
        <v>0</v>
      </c>
      <c r="D488" s="39" t="n">
        <v>0</v>
      </c>
      <c r="E488" s="39" t="n">
        <v>0</v>
      </c>
      <c r="F488" s="39" t="n">
        <v>0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0</v>
      </c>
      <c r="L488" s="39" t="n">
        <v>0</v>
      </c>
      <c r="M488" s="39" t="n">
        <v>0</v>
      </c>
      <c r="N488" s="39" t="n">
        <v>0</v>
      </c>
    </row>
    <row r="489" customFormat="false" ht="18" hidden="false" customHeight="true" outlineLevel="0" collapsed="false">
      <c r="B489" s="42" t="s">
        <v>84</v>
      </c>
      <c r="C489" s="43" t="n">
        <f aca="false">SUMPRODUCT((MONTH('⚫ Confirmed Attrition'!$G$5:$G$1000)=1)*(YEAR('⚫ Confirmed Attrition'!$G$5:$G$1000)=2026)*('⚫ Confirmed Attrition'!$D$5:$D$1000="Khyno Elimanco Cortez"))</f>
        <v>0</v>
      </c>
      <c r="D489" s="43" t="n">
        <f aca="false">SUMPRODUCT((MONTH('⚫ Confirmed Attrition'!$G$5:$G$1000)=2)*(YEAR('⚫ Confirmed Attrition'!$G$5:$G$1000)=2026)*('⚫ Confirmed Attrition'!$D$5:$D$1000="Khyno Elimanco Cortez"))</f>
        <v>0</v>
      </c>
      <c r="E489" s="43" t="n">
        <f aca="false">SUMPRODUCT((MONTH('⚫ Confirmed Attrition'!$G$5:$G$1000)=3)*(YEAR('⚫ Confirmed Attrition'!$G$5:$G$1000)=2026)*('⚫ Confirmed Attrition'!$D$5:$D$1000="Khyno Elimanco Cortez"))</f>
        <v>0</v>
      </c>
      <c r="F489" s="43" t="n">
        <f aca="false">SUMPRODUCT((MONTH('⚫ Confirmed Attrition'!$G$5:$G$1000)=4)*(YEAR('⚫ Confirmed Attrition'!$G$5:$G$1000)=2026)*('⚫ Confirmed Attrition'!$D$5:$D$1000="Khyno Elimanco Cortez"))</f>
        <v>0</v>
      </c>
      <c r="G489" s="43" t="n">
        <f aca="false">SUMPRODUCT((MONTH('⚫ Confirmed Attrition'!$G$5:$G$1000)=5)*(YEAR('⚫ Confirmed Attrition'!$G$5:$G$1000)=2026)*('⚫ Confirmed Attrition'!$D$5:$D$1000="Khyno Elimanco Cortez"))</f>
        <v>0</v>
      </c>
      <c r="H489" s="43" t="n">
        <f aca="false">SUMPRODUCT((MONTH('⚫ Confirmed Attrition'!$G$5:$G$1000)=6)*(YEAR('⚫ Confirmed Attrition'!$G$5:$G$1000)=2026)*('⚫ Confirmed Attrition'!$D$5:$D$1000="Khyno Elimanco Cortez"))</f>
        <v>0</v>
      </c>
      <c r="I489" s="43" t="n">
        <f aca="false">SUMPRODUCT((MONTH('⚫ Confirmed Attrition'!$G$5:$G$1000)=7)*(YEAR('⚫ Confirmed Attrition'!$G$5:$G$1000)=2026)*('⚫ Confirmed Attrition'!$D$5:$D$1000="Khyno Elimanco Cortez"))</f>
        <v>0</v>
      </c>
      <c r="J489" s="43" t="n">
        <f aca="false">SUMPRODUCT((MONTH('⚫ Confirmed Attrition'!$G$5:$G$1000)=8)*(YEAR('⚫ Confirmed Attrition'!$G$5:$G$1000)=2026)*('⚫ Confirmed Attrition'!$D$5:$D$1000="Khyno Elimanco Cortez"))</f>
        <v>0</v>
      </c>
      <c r="K489" s="43" t="n">
        <f aca="false">SUMPRODUCT((MONTH('⚫ Confirmed Attrition'!$G$5:$G$1000)=9)*(YEAR('⚫ Confirmed Attrition'!$G$5:$G$1000)=2026)*('⚫ Confirmed Attrition'!$D$5:$D$1000="Khyno Elimanco Cortez"))</f>
        <v>0</v>
      </c>
      <c r="L489" s="43" t="n">
        <f aca="false">SUMPRODUCT((MONTH('⚫ Confirmed Attrition'!$G$5:$G$1000)=10)*(YEAR('⚫ Confirmed Attrition'!$G$5:$G$1000)=2026)*('⚫ Confirmed Attrition'!$D$5:$D$1000="Khyno Elimanco Cortez"))</f>
        <v>0</v>
      </c>
      <c r="M489" s="43" t="n">
        <f aca="false">SUMPRODUCT((MONTH('⚫ Confirmed Attrition'!$G$5:$G$1000)=11)*(YEAR('⚫ Confirmed Attrition'!$G$5:$G$1000)=2026)*('⚫ Confirmed Attrition'!$D$5:$D$1000="Khyno Elimanco Cortez"))</f>
        <v>0</v>
      </c>
      <c r="N489" s="43" t="n">
        <f aca="false">SUMPRODUCT((MONTH('⚫ Confirmed Attrition'!$G$5:$G$1000)=12)*(YEAR('⚫ Confirmed Attrition'!$G$5:$G$1000)=2026)*('⚫ Confirmed Attrition'!$D$5:$D$1000="Khyno Elimanco Cortez"))</f>
        <v>0</v>
      </c>
    </row>
    <row r="490" customFormat="false" ht="18" hidden="false" customHeight="true" outlineLevel="0" collapsed="false">
      <c r="B490" s="44" t="s">
        <v>85</v>
      </c>
      <c r="C490" s="45" t="n">
        <v>0</v>
      </c>
      <c r="D490" s="45" t="n">
        <v>0</v>
      </c>
      <c r="E490" s="45" t="n">
        <v>0</v>
      </c>
      <c r="F490" s="45" t="n">
        <v>0</v>
      </c>
      <c r="G490" s="45" t="n">
        <v>0</v>
      </c>
      <c r="H490" s="45" t="n">
        <v>0</v>
      </c>
      <c r="I490" s="45" t="n">
        <v>0</v>
      </c>
      <c r="J490" s="45" t="n">
        <v>0</v>
      </c>
      <c r="K490" s="45" t="n">
        <v>0</v>
      </c>
      <c r="L490" s="45" t="n">
        <v>0</v>
      </c>
      <c r="M490" s="45" t="n">
        <v>0</v>
      </c>
      <c r="N490" s="45" t="n">
        <v>0</v>
      </c>
    </row>
    <row r="491" customFormat="false" ht="18" hidden="false" customHeight="true" outlineLevel="0" collapsed="false">
      <c r="B491" s="44" t="s">
        <v>86</v>
      </c>
      <c r="C491" s="45" t="n">
        <v>0</v>
      </c>
      <c r="D491" s="45" t="n">
        <v>0</v>
      </c>
      <c r="E491" s="45" t="n">
        <v>0</v>
      </c>
      <c r="F491" s="45" t="n">
        <v>0</v>
      </c>
      <c r="G491" s="45" t="n">
        <v>0</v>
      </c>
      <c r="H491" s="45" t="n">
        <v>0</v>
      </c>
      <c r="I491" s="45" t="n">
        <v>0</v>
      </c>
      <c r="J491" s="45" t="n">
        <v>0</v>
      </c>
      <c r="K491" s="45" t="n">
        <v>0</v>
      </c>
      <c r="L491" s="45" t="n">
        <v>0</v>
      </c>
      <c r="M491" s="45" t="n">
        <v>0</v>
      </c>
      <c r="N491" s="45" t="n">
        <v>0</v>
      </c>
    </row>
    <row r="492" customFormat="false" ht="18" hidden="false" customHeight="true" outlineLevel="0" collapsed="false">
      <c r="B492" s="44" t="s">
        <v>87</v>
      </c>
      <c r="C492" s="45" t="n">
        <v>0</v>
      </c>
      <c r="D492" s="45" t="n">
        <v>0</v>
      </c>
      <c r="E492" s="45" t="n">
        <v>0</v>
      </c>
      <c r="F492" s="45" t="n">
        <v>0</v>
      </c>
      <c r="G492" s="45" t="n">
        <v>0</v>
      </c>
      <c r="H492" s="45" t="n">
        <v>0</v>
      </c>
      <c r="I492" s="45" t="n">
        <v>0</v>
      </c>
      <c r="J492" s="45" t="n">
        <v>0</v>
      </c>
      <c r="K492" s="45" t="n">
        <v>0</v>
      </c>
      <c r="L492" s="45" t="n">
        <v>0</v>
      </c>
      <c r="M492" s="45" t="n">
        <v>0</v>
      </c>
      <c r="N492" s="45" t="n">
        <v>0</v>
      </c>
    </row>
    <row r="493" customFormat="false" ht="18" hidden="false" customHeight="true" outlineLevel="0" collapsed="false">
      <c r="B493" s="36" t="s">
        <v>88</v>
      </c>
      <c r="C493" s="37" t="n">
        <v>19</v>
      </c>
      <c r="D493" s="37" t="n">
        <v>0</v>
      </c>
      <c r="E493" s="37" t="n">
        <v>0</v>
      </c>
      <c r="F493" s="37" t="n">
        <v>0</v>
      </c>
      <c r="G493" s="37" t="n">
        <v>0</v>
      </c>
      <c r="H493" s="37" t="n">
        <v>0</v>
      </c>
      <c r="I493" s="37" t="n">
        <v>0</v>
      </c>
      <c r="J493" s="37" t="n">
        <v>0</v>
      </c>
      <c r="K493" s="37" t="n">
        <v>0</v>
      </c>
      <c r="L493" s="37" t="n">
        <v>0</v>
      </c>
      <c r="M493" s="37" t="n">
        <v>0</v>
      </c>
      <c r="N493" s="37" t="n">
        <v>0</v>
      </c>
    </row>
    <row r="496" customFormat="false" ht="27.75" hidden="false" customHeight="true" outlineLevel="0" collapsed="false">
      <c r="B496" s="46" t="s">
        <v>119</v>
      </c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</row>
    <row r="497" customFormat="false" ht="3.75" hidden="false" customHeight="true" outlineLevel="0" collapsed="false"/>
    <row r="498" customFormat="false" ht="25.5" hidden="false" customHeight="true" outlineLevel="0" collapsed="false">
      <c r="B498" s="47" t="s">
        <v>42</v>
      </c>
      <c r="C498" s="47" t="s">
        <v>68</v>
      </c>
      <c r="D498" s="47" t="s">
        <v>69</v>
      </c>
      <c r="E498" s="47" t="s">
        <v>70</v>
      </c>
      <c r="F498" s="47" t="s">
        <v>71</v>
      </c>
      <c r="G498" s="47" t="s">
        <v>72</v>
      </c>
      <c r="H498" s="47" t="s">
        <v>73</v>
      </c>
      <c r="I498" s="47" t="s">
        <v>74</v>
      </c>
      <c r="J498" s="47" t="s">
        <v>75</v>
      </c>
      <c r="K498" s="47" t="s">
        <v>76</v>
      </c>
      <c r="L498" s="47" t="s">
        <v>77</v>
      </c>
      <c r="M498" s="47" t="s">
        <v>78</v>
      </c>
      <c r="N498" s="47" t="s">
        <v>79</v>
      </c>
    </row>
    <row r="499" customFormat="false" ht="18" hidden="false" customHeight="true" outlineLevel="0" collapsed="false">
      <c r="B499" s="36" t="s">
        <v>80</v>
      </c>
      <c r="C499" s="37" t="n">
        <v>11</v>
      </c>
      <c r="D499" s="37" t="n">
        <v>0</v>
      </c>
      <c r="E499" s="37" t="n">
        <v>0</v>
      </c>
      <c r="F499" s="37" t="n">
        <v>0</v>
      </c>
      <c r="G499" s="37" t="n">
        <v>0</v>
      </c>
      <c r="H499" s="37" t="n">
        <v>0</v>
      </c>
      <c r="I499" s="37" t="n">
        <v>0</v>
      </c>
      <c r="J499" s="37" t="n">
        <v>0</v>
      </c>
      <c r="K499" s="37" t="n">
        <v>0</v>
      </c>
      <c r="L499" s="37" t="n">
        <v>0</v>
      </c>
      <c r="M499" s="37" t="n">
        <v>0</v>
      </c>
      <c r="N499" s="37" t="n">
        <v>0</v>
      </c>
    </row>
    <row r="500" customFormat="false" ht="18" hidden="false" customHeight="true" outlineLevel="0" collapsed="false">
      <c r="B500" s="38" t="s">
        <v>81</v>
      </c>
      <c r="C500" s="39" t="n">
        <v>0</v>
      </c>
      <c r="D500" s="39" t="n">
        <v>0</v>
      </c>
      <c r="E500" s="39" t="n">
        <v>0</v>
      </c>
      <c r="F500" s="39" t="n">
        <v>0</v>
      </c>
      <c r="G500" s="39" t="n">
        <v>0</v>
      </c>
      <c r="H500" s="39" t="n">
        <v>0</v>
      </c>
      <c r="I500" s="39" t="n">
        <v>0</v>
      </c>
      <c r="J500" s="39" t="n">
        <v>0</v>
      </c>
      <c r="K500" s="39" t="n">
        <v>0</v>
      </c>
      <c r="L500" s="39" t="n">
        <v>0</v>
      </c>
      <c r="M500" s="39" t="n">
        <v>0</v>
      </c>
      <c r="N500" s="39" t="n">
        <v>0</v>
      </c>
    </row>
    <row r="501" customFormat="false" ht="18" hidden="false" customHeight="true" outlineLevel="0" collapsed="false">
      <c r="B501" s="40" t="s">
        <v>82</v>
      </c>
      <c r="C501" s="41" t="n">
        <v>0</v>
      </c>
      <c r="D501" s="41" t="n">
        <v>0</v>
      </c>
      <c r="E501" s="41" t="n">
        <v>0</v>
      </c>
      <c r="F501" s="41" t="n">
        <v>0</v>
      </c>
      <c r="G501" s="41" t="n">
        <v>0</v>
      </c>
      <c r="H501" s="41" t="n">
        <v>0</v>
      </c>
      <c r="I501" s="41" t="n">
        <v>0</v>
      </c>
      <c r="J501" s="41" t="n">
        <v>0</v>
      </c>
      <c r="K501" s="41" t="n">
        <v>0</v>
      </c>
      <c r="L501" s="41" t="n">
        <v>0</v>
      </c>
      <c r="M501" s="41" t="n">
        <v>0</v>
      </c>
      <c r="N501" s="41" t="n">
        <v>0</v>
      </c>
    </row>
    <row r="502" customFormat="false" ht="18" hidden="false" customHeight="true" outlineLevel="0" collapsed="false">
      <c r="B502" s="38" t="s">
        <v>83</v>
      </c>
      <c r="C502" s="39" t="n">
        <v>0</v>
      </c>
      <c r="D502" s="39" t="n">
        <v>0</v>
      </c>
      <c r="E502" s="39" t="n">
        <v>0</v>
      </c>
      <c r="F502" s="39" t="n">
        <v>0</v>
      </c>
      <c r="G502" s="39" t="n">
        <v>0</v>
      </c>
      <c r="H502" s="39" t="n">
        <v>0</v>
      </c>
      <c r="I502" s="39" t="n">
        <v>0</v>
      </c>
      <c r="J502" s="39" t="n">
        <v>0</v>
      </c>
      <c r="K502" s="39" t="n">
        <v>0</v>
      </c>
      <c r="L502" s="39" t="n">
        <v>0</v>
      </c>
      <c r="M502" s="39" t="n">
        <v>0</v>
      </c>
      <c r="N502" s="39" t="n">
        <v>0</v>
      </c>
    </row>
    <row r="503" customFormat="false" ht="18" hidden="false" customHeight="true" outlineLevel="0" collapsed="false">
      <c r="B503" s="42" t="s">
        <v>84</v>
      </c>
      <c r="C503" s="43" t="n">
        <f aca="false">SUMPRODUCT((MONTH('⚫ Confirmed Attrition'!$G$5:$G$1000)=1)*(YEAR('⚫ Confirmed Attrition'!$G$5:$G$1000)=2026)*('⚫ Confirmed Attrition'!$D$5:$D$1000="Kristel Angelica Valerio"))</f>
        <v>0</v>
      </c>
      <c r="D503" s="43" t="n">
        <f aca="false">SUMPRODUCT((MONTH('⚫ Confirmed Attrition'!$G$5:$G$1000)=2)*(YEAR('⚫ Confirmed Attrition'!$G$5:$G$1000)=2026)*('⚫ Confirmed Attrition'!$D$5:$D$1000="Kristel Angelica Valerio"))</f>
        <v>0</v>
      </c>
      <c r="E503" s="43" t="n">
        <f aca="false">SUMPRODUCT((MONTH('⚫ Confirmed Attrition'!$G$5:$G$1000)=3)*(YEAR('⚫ Confirmed Attrition'!$G$5:$G$1000)=2026)*('⚫ Confirmed Attrition'!$D$5:$D$1000="Kristel Angelica Valerio"))</f>
        <v>0</v>
      </c>
      <c r="F503" s="43" t="n">
        <f aca="false">SUMPRODUCT((MONTH('⚫ Confirmed Attrition'!$G$5:$G$1000)=4)*(YEAR('⚫ Confirmed Attrition'!$G$5:$G$1000)=2026)*('⚫ Confirmed Attrition'!$D$5:$D$1000="Kristel Angelica Valerio"))</f>
        <v>0</v>
      </c>
      <c r="G503" s="43" t="n">
        <f aca="false">SUMPRODUCT((MONTH('⚫ Confirmed Attrition'!$G$5:$G$1000)=5)*(YEAR('⚫ Confirmed Attrition'!$G$5:$G$1000)=2026)*('⚫ Confirmed Attrition'!$D$5:$D$1000="Kristel Angelica Valerio"))</f>
        <v>0</v>
      </c>
      <c r="H503" s="43" t="n">
        <f aca="false">SUMPRODUCT((MONTH('⚫ Confirmed Attrition'!$G$5:$G$1000)=6)*(YEAR('⚫ Confirmed Attrition'!$G$5:$G$1000)=2026)*('⚫ Confirmed Attrition'!$D$5:$D$1000="Kristel Angelica Valerio"))</f>
        <v>0</v>
      </c>
      <c r="I503" s="43" t="n">
        <f aca="false">SUMPRODUCT((MONTH('⚫ Confirmed Attrition'!$G$5:$G$1000)=7)*(YEAR('⚫ Confirmed Attrition'!$G$5:$G$1000)=2026)*('⚫ Confirmed Attrition'!$D$5:$D$1000="Kristel Angelica Valerio"))</f>
        <v>0</v>
      </c>
      <c r="J503" s="43" t="n">
        <f aca="false">SUMPRODUCT((MONTH('⚫ Confirmed Attrition'!$G$5:$G$1000)=8)*(YEAR('⚫ Confirmed Attrition'!$G$5:$G$1000)=2026)*('⚫ Confirmed Attrition'!$D$5:$D$1000="Kristel Angelica Valerio"))</f>
        <v>0</v>
      </c>
      <c r="K503" s="43" t="n">
        <f aca="false">SUMPRODUCT((MONTH('⚫ Confirmed Attrition'!$G$5:$G$1000)=9)*(YEAR('⚫ Confirmed Attrition'!$G$5:$G$1000)=2026)*('⚫ Confirmed Attrition'!$D$5:$D$1000="Kristel Angelica Valerio"))</f>
        <v>0</v>
      </c>
      <c r="L503" s="43" t="n">
        <f aca="false">SUMPRODUCT((MONTH('⚫ Confirmed Attrition'!$G$5:$G$1000)=10)*(YEAR('⚫ Confirmed Attrition'!$G$5:$G$1000)=2026)*('⚫ Confirmed Attrition'!$D$5:$D$1000="Kristel Angelica Valerio"))</f>
        <v>0</v>
      </c>
      <c r="M503" s="43" t="n">
        <f aca="false">SUMPRODUCT((MONTH('⚫ Confirmed Attrition'!$G$5:$G$1000)=11)*(YEAR('⚫ Confirmed Attrition'!$G$5:$G$1000)=2026)*('⚫ Confirmed Attrition'!$D$5:$D$1000="Kristel Angelica Valerio"))</f>
        <v>0</v>
      </c>
      <c r="N503" s="43" t="n">
        <f aca="false">SUMPRODUCT((MONTH('⚫ Confirmed Attrition'!$G$5:$G$1000)=12)*(YEAR('⚫ Confirmed Attrition'!$G$5:$G$1000)=2026)*('⚫ Confirmed Attrition'!$D$5:$D$1000="Kristel Angelica Valerio"))</f>
        <v>0</v>
      </c>
    </row>
    <row r="504" customFormat="false" ht="18" hidden="false" customHeight="true" outlineLevel="0" collapsed="false">
      <c r="B504" s="44" t="s">
        <v>85</v>
      </c>
      <c r="C504" s="45" t="n">
        <v>0</v>
      </c>
      <c r="D504" s="45" t="n">
        <v>0</v>
      </c>
      <c r="E504" s="45" t="n">
        <v>0</v>
      </c>
      <c r="F504" s="45" t="n">
        <v>0</v>
      </c>
      <c r="G504" s="45" t="n">
        <v>0</v>
      </c>
      <c r="H504" s="45" t="n">
        <v>0</v>
      </c>
      <c r="I504" s="45" t="n">
        <v>0</v>
      </c>
      <c r="J504" s="45" t="n">
        <v>0</v>
      </c>
      <c r="K504" s="45" t="n">
        <v>0</v>
      </c>
      <c r="L504" s="45" t="n">
        <v>0</v>
      </c>
      <c r="M504" s="45" t="n">
        <v>0</v>
      </c>
      <c r="N504" s="45" t="n">
        <v>0</v>
      </c>
    </row>
    <row r="505" customFormat="false" ht="18" hidden="false" customHeight="true" outlineLevel="0" collapsed="false">
      <c r="B505" s="44" t="s">
        <v>86</v>
      </c>
      <c r="C505" s="45" t="n">
        <v>0</v>
      </c>
      <c r="D505" s="45" t="n">
        <v>0</v>
      </c>
      <c r="E505" s="45" t="n">
        <v>0</v>
      </c>
      <c r="F505" s="45" t="n">
        <v>0</v>
      </c>
      <c r="G505" s="45" t="n">
        <v>0</v>
      </c>
      <c r="H505" s="45" t="n">
        <v>0</v>
      </c>
      <c r="I505" s="45" t="n">
        <v>0</v>
      </c>
      <c r="J505" s="45" t="n">
        <v>0</v>
      </c>
      <c r="K505" s="45" t="n">
        <v>0</v>
      </c>
      <c r="L505" s="45" t="n">
        <v>0</v>
      </c>
      <c r="M505" s="45" t="n">
        <v>0</v>
      </c>
      <c r="N505" s="45" t="n">
        <v>0</v>
      </c>
    </row>
    <row r="506" customFormat="false" ht="18" hidden="false" customHeight="true" outlineLevel="0" collapsed="false">
      <c r="B506" s="44" t="s">
        <v>87</v>
      </c>
      <c r="C506" s="45" t="n">
        <v>0</v>
      </c>
      <c r="D506" s="45" t="n">
        <v>0</v>
      </c>
      <c r="E506" s="45" t="n">
        <v>0</v>
      </c>
      <c r="F506" s="45" t="n">
        <v>0</v>
      </c>
      <c r="G506" s="45" t="n">
        <v>0</v>
      </c>
      <c r="H506" s="45" t="n">
        <v>0</v>
      </c>
      <c r="I506" s="45" t="n">
        <v>0</v>
      </c>
      <c r="J506" s="45" t="n">
        <v>0</v>
      </c>
      <c r="K506" s="45" t="n">
        <v>0</v>
      </c>
      <c r="L506" s="45" t="n">
        <v>0</v>
      </c>
      <c r="M506" s="45" t="n">
        <v>0</v>
      </c>
      <c r="N506" s="45" t="n">
        <v>0</v>
      </c>
    </row>
    <row r="507" customFormat="false" ht="18" hidden="false" customHeight="true" outlineLevel="0" collapsed="false">
      <c r="B507" s="36" t="s">
        <v>88</v>
      </c>
      <c r="C507" s="37" t="n">
        <v>11</v>
      </c>
      <c r="D507" s="37" t="n">
        <v>0</v>
      </c>
      <c r="E507" s="37" t="n">
        <v>0</v>
      </c>
      <c r="F507" s="37" t="n">
        <v>0</v>
      </c>
      <c r="G507" s="37" t="n">
        <v>0</v>
      </c>
      <c r="H507" s="37" t="n">
        <v>0</v>
      </c>
      <c r="I507" s="37" t="n">
        <v>0</v>
      </c>
      <c r="J507" s="37" t="n">
        <v>0</v>
      </c>
      <c r="K507" s="37" t="n">
        <v>0</v>
      </c>
      <c r="L507" s="37" t="n">
        <v>0</v>
      </c>
      <c r="M507" s="37" t="n">
        <v>0</v>
      </c>
      <c r="N507" s="37" t="n">
        <v>0</v>
      </c>
    </row>
    <row r="510" customFormat="false" ht="27.75" hidden="false" customHeight="true" outlineLevel="0" collapsed="false">
      <c r="B510" s="46" t="s">
        <v>120</v>
      </c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</row>
    <row r="511" customFormat="false" ht="3.75" hidden="false" customHeight="true" outlineLevel="0" collapsed="false"/>
    <row r="512" customFormat="false" ht="25.5" hidden="false" customHeight="true" outlineLevel="0" collapsed="false">
      <c r="B512" s="47" t="s">
        <v>43</v>
      </c>
      <c r="C512" s="47" t="s">
        <v>68</v>
      </c>
      <c r="D512" s="47" t="s">
        <v>69</v>
      </c>
      <c r="E512" s="47" t="s">
        <v>70</v>
      </c>
      <c r="F512" s="47" t="s">
        <v>71</v>
      </c>
      <c r="G512" s="47" t="s">
        <v>72</v>
      </c>
      <c r="H512" s="47" t="s">
        <v>73</v>
      </c>
      <c r="I512" s="47" t="s">
        <v>74</v>
      </c>
      <c r="J512" s="47" t="s">
        <v>75</v>
      </c>
      <c r="K512" s="47" t="s">
        <v>76</v>
      </c>
      <c r="L512" s="47" t="s">
        <v>77</v>
      </c>
      <c r="M512" s="47" t="s">
        <v>78</v>
      </c>
      <c r="N512" s="47" t="s">
        <v>79</v>
      </c>
    </row>
    <row r="513" customFormat="false" ht="18" hidden="false" customHeight="true" outlineLevel="0" collapsed="false">
      <c r="B513" s="36" t="s">
        <v>80</v>
      </c>
      <c r="C513" s="37" t="n">
        <v>20</v>
      </c>
      <c r="D513" s="37" t="n">
        <v>0</v>
      </c>
      <c r="E513" s="37" t="n">
        <v>0</v>
      </c>
      <c r="F513" s="37" t="n">
        <v>0</v>
      </c>
      <c r="G513" s="37" t="n">
        <v>0</v>
      </c>
      <c r="H513" s="37" t="n">
        <v>0</v>
      </c>
      <c r="I513" s="37" t="n">
        <v>0</v>
      </c>
      <c r="J513" s="37" t="n">
        <v>0</v>
      </c>
      <c r="K513" s="37" t="n">
        <v>0</v>
      </c>
      <c r="L513" s="37" t="n">
        <v>0</v>
      </c>
      <c r="M513" s="37" t="n">
        <v>0</v>
      </c>
      <c r="N513" s="37" t="n">
        <v>0</v>
      </c>
    </row>
    <row r="514" customFormat="false" ht="18" hidden="false" customHeight="true" outlineLevel="0" collapsed="false">
      <c r="B514" s="38" t="s">
        <v>81</v>
      </c>
      <c r="C514" s="39" t="n">
        <v>0</v>
      </c>
      <c r="D514" s="39" t="n">
        <v>0</v>
      </c>
      <c r="E514" s="39" t="n">
        <v>0</v>
      </c>
      <c r="F514" s="39" t="n">
        <v>0</v>
      </c>
      <c r="G514" s="39" t="n">
        <v>0</v>
      </c>
      <c r="H514" s="39" t="n">
        <v>0</v>
      </c>
      <c r="I514" s="39" t="n">
        <v>0</v>
      </c>
      <c r="J514" s="39" t="n">
        <v>0</v>
      </c>
      <c r="K514" s="39" t="n">
        <v>0</v>
      </c>
      <c r="L514" s="39" t="n">
        <v>0</v>
      </c>
      <c r="M514" s="39" t="n">
        <v>0</v>
      </c>
      <c r="N514" s="39" t="n">
        <v>0</v>
      </c>
    </row>
    <row r="515" customFormat="false" ht="18" hidden="false" customHeight="true" outlineLevel="0" collapsed="false">
      <c r="B515" s="40" t="s">
        <v>82</v>
      </c>
      <c r="C515" s="41" t="n">
        <v>0</v>
      </c>
      <c r="D515" s="41" t="n">
        <v>0</v>
      </c>
      <c r="E515" s="41" t="n">
        <v>0</v>
      </c>
      <c r="F515" s="41" t="n">
        <v>0</v>
      </c>
      <c r="G515" s="41" t="n">
        <v>0</v>
      </c>
      <c r="H515" s="41" t="n">
        <v>0</v>
      </c>
      <c r="I515" s="41" t="n">
        <v>0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n">
        <v>0</v>
      </c>
    </row>
    <row r="516" customFormat="false" ht="18" hidden="false" customHeight="true" outlineLevel="0" collapsed="false">
      <c r="B516" s="38" t="s">
        <v>83</v>
      </c>
      <c r="C516" s="39" t="n">
        <v>0</v>
      </c>
      <c r="D516" s="39" t="n">
        <v>0</v>
      </c>
      <c r="E516" s="39" t="n">
        <v>0</v>
      </c>
      <c r="F516" s="39" t="n">
        <v>0</v>
      </c>
      <c r="G516" s="39" t="n">
        <v>0</v>
      </c>
      <c r="H516" s="39" t="n">
        <v>0</v>
      </c>
      <c r="I516" s="39" t="n">
        <v>0</v>
      </c>
      <c r="J516" s="39" t="n">
        <v>0</v>
      </c>
      <c r="K516" s="39" t="n">
        <v>0</v>
      </c>
      <c r="L516" s="39" t="n">
        <v>0</v>
      </c>
      <c r="M516" s="39" t="n">
        <v>0</v>
      </c>
      <c r="N516" s="39" t="n">
        <v>0</v>
      </c>
    </row>
    <row r="517" customFormat="false" ht="18" hidden="false" customHeight="true" outlineLevel="0" collapsed="false">
      <c r="B517" s="42" t="s">
        <v>84</v>
      </c>
      <c r="C517" s="43" t="n">
        <f aca="false">SUMPRODUCT((MONTH('⚫ Confirmed Attrition'!$G$5:$G$1000)=1)*(YEAR('⚫ Confirmed Attrition'!$G$5:$G$1000)=2026)*('⚫ Confirmed Attrition'!$D$5:$D$1000="Lea Ibag Fernandez"))</f>
        <v>0</v>
      </c>
      <c r="D517" s="43" t="n">
        <f aca="false">SUMPRODUCT((MONTH('⚫ Confirmed Attrition'!$G$5:$G$1000)=2)*(YEAR('⚫ Confirmed Attrition'!$G$5:$G$1000)=2026)*('⚫ Confirmed Attrition'!$D$5:$D$1000="Lea Ibag Fernandez"))</f>
        <v>0</v>
      </c>
      <c r="E517" s="43" t="n">
        <f aca="false">SUMPRODUCT((MONTH('⚫ Confirmed Attrition'!$G$5:$G$1000)=3)*(YEAR('⚫ Confirmed Attrition'!$G$5:$G$1000)=2026)*('⚫ Confirmed Attrition'!$D$5:$D$1000="Lea Ibag Fernandez"))</f>
        <v>0</v>
      </c>
      <c r="F517" s="43" t="n">
        <f aca="false">SUMPRODUCT((MONTH('⚫ Confirmed Attrition'!$G$5:$G$1000)=4)*(YEAR('⚫ Confirmed Attrition'!$G$5:$G$1000)=2026)*('⚫ Confirmed Attrition'!$D$5:$D$1000="Lea Ibag Fernandez"))</f>
        <v>0</v>
      </c>
      <c r="G517" s="43" t="n">
        <f aca="false">SUMPRODUCT((MONTH('⚫ Confirmed Attrition'!$G$5:$G$1000)=5)*(YEAR('⚫ Confirmed Attrition'!$G$5:$G$1000)=2026)*('⚫ Confirmed Attrition'!$D$5:$D$1000="Lea Ibag Fernandez"))</f>
        <v>0</v>
      </c>
      <c r="H517" s="43" t="n">
        <f aca="false">SUMPRODUCT((MONTH('⚫ Confirmed Attrition'!$G$5:$G$1000)=6)*(YEAR('⚫ Confirmed Attrition'!$G$5:$G$1000)=2026)*('⚫ Confirmed Attrition'!$D$5:$D$1000="Lea Ibag Fernandez"))</f>
        <v>0</v>
      </c>
      <c r="I517" s="43" t="n">
        <f aca="false">SUMPRODUCT((MONTH('⚫ Confirmed Attrition'!$G$5:$G$1000)=7)*(YEAR('⚫ Confirmed Attrition'!$G$5:$G$1000)=2026)*('⚫ Confirmed Attrition'!$D$5:$D$1000="Lea Ibag Fernandez"))</f>
        <v>0</v>
      </c>
      <c r="J517" s="43" t="n">
        <f aca="false">SUMPRODUCT((MONTH('⚫ Confirmed Attrition'!$G$5:$G$1000)=8)*(YEAR('⚫ Confirmed Attrition'!$G$5:$G$1000)=2026)*('⚫ Confirmed Attrition'!$D$5:$D$1000="Lea Ibag Fernandez"))</f>
        <v>0</v>
      </c>
      <c r="K517" s="43" t="n">
        <f aca="false">SUMPRODUCT((MONTH('⚫ Confirmed Attrition'!$G$5:$G$1000)=9)*(YEAR('⚫ Confirmed Attrition'!$G$5:$G$1000)=2026)*('⚫ Confirmed Attrition'!$D$5:$D$1000="Lea Ibag Fernandez"))</f>
        <v>0</v>
      </c>
      <c r="L517" s="43" t="n">
        <f aca="false">SUMPRODUCT((MONTH('⚫ Confirmed Attrition'!$G$5:$G$1000)=10)*(YEAR('⚫ Confirmed Attrition'!$G$5:$G$1000)=2026)*('⚫ Confirmed Attrition'!$D$5:$D$1000="Lea Ibag Fernandez"))</f>
        <v>0</v>
      </c>
      <c r="M517" s="43" t="n">
        <f aca="false">SUMPRODUCT((MONTH('⚫ Confirmed Attrition'!$G$5:$G$1000)=11)*(YEAR('⚫ Confirmed Attrition'!$G$5:$G$1000)=2026)*('⚫ Confirmed Attrition'!$D$5:$D$1000="Lea Ibag Fernandez"))</f>
        <v>0</v>
      </c>
      <c r="N517" s="43" t="n">
        <f aca="false">SUMPRODUCT((MONTH('⚫ Confirmed Attrition'!$G$5:$G$1000)=12)*(YEAR('⚫ Confirmed Attrition'!$G$5:$G$1000)=2026)*('⚫ Confirmed Attrition'!$D$5:$D$1000="Lea Ibag Fernandez"))</f>
        <v>0</v>
      </c>
    </row>
    <row r="518" customFormat="false" ht="18" hidden="false" customHeight="true" outlineLevel="0" collapsed="false">
      <c r="B518" s="44" t="s">
        <v>85</v>
      </c>
      <c r="C518" s="45" t="n">
        <v>0</v>
      </c>
      <c r="D518" s="45" t="n">
        <v>0</v>
      </c>
      <c r="E518" s="45" t="n">
        <v>0</v>
      </c>
      <c r="F518" s="45" t="n">
        <v>0</v>
      </c>
      <c r="G518" s="45" t="n">
        <v>0</v>
      </c>
      <c r="H518" s="45" t="n">
        <v>0</v>
      </c>
      <c r="I518" s="45" t="n">
        <v>0</v>
      </c>
      <c r="J518" s="45" t="n">
        <v>0</v>
      </c>
      <c r="K518" s="45" t="n">
        <v>0</v>
      </c>
      <c r="L518" s="45" t="n">
        <v>0</v>
      </c>
      <c r="M518" s="45" t="n">
        <v>0</v>
      </c>
      <c r="N518" s="45" t="n">
        <v>0</v>
      </c>
    </row>
    <row r="519" customFormat="false" ht="18" hidden="false" customHeight="true" outlineLevel="0" collapsed="false">
      <c r="B519" s="44" t="s">
        <v>86</v>
      </c>
      <c r="C519" s="45" t="n">
        <v>0</v>
      </c>
      <c r="D519" s="45" t="n">
        <v>0</v>
      </c>
      <c r="E519" s="45" t="n">
        <v>0</v>
      </c>
      <c r="F519" s="45" t="n">
        <v>0</v>
      </c>
      <c r="G519" s="45" t="n">
        <v>0</v>
      </c>
      <c r="H519" s="45" t="n">
        <v>0</v>
      </c>
      <c r="I519" s="45" t="n">
        <v>0</v>
      </c>
      <c r="J519" s="45" t="n">
        <v>0</v>
      </c>
      <c r="K519" s="45" t="n">
        <v>0</v>
      </c>
      <c r="L519" s="45" t="n">
        <v>0</v>
      </c>
      <c r="M519" s="45" t="n">
        <v>0</v>
      </c>
      <c r="N519" s="45" t="n">
        <v>0</v>
      </c>
    </row>
    <row r="520" customFormat="false" ht="18" hidden="false" customHeight="true" outlineLevel="0" collapsed="false">
      <c r="B520" s="44" t="s">
        <v>87</v>
      </c>
      <c r="C520" s="45" t="n">
        <v>0</v>
      </c>
      <c r="D520" s="45" t="n">
        <v>0</v>
      </c>
      <c r="E520" s="45" t="n">
        <v>0</v>
      </c>
      <c r="F520" s="45" t="n">
        <v>0</v>
      </c>
      <c r="G520" s="45" t="n">
        <v>0</v>
      </c>
      <c r="H520" s="45" t="n">
        <v>0</v>
      </c>
      <c r="I520" s="45" t="n">
        <v>0</v>
      </c>
      <c r="J520" s="45" t="n">
        <v>0</v>
      </c>
      <c r="K520" s="45" t="n">
        <v>0</v>
      </c>
      <c r="L520" s="45" t="n">
        <v>0</v>
      </c>
      <c r="M520" s="45" t="n">
        <v>0</v>
      </c>
      <c r="N520" s="45" t="n">
        <v>0</v>
      </c>
    </row>
    <row r="521" customFormat="false" ht="18" hidden="false" customHeight="true" outlineLevel="0" collapsed="false">
      <c r="B521" s="36" t="s">
        <v>88</v>
      </c>
      <c r="C521" s="37" t="n">
        <v>20</v>
      </c>
      <c r="D521" s="37" t="n">
        <v>0</v>
      </c>
      <c r="E521" s="37" t="n">
        <v>0</v>
      </c>
      <c r="F521" s="37" t="n">
        <v>0</v>
      </c>
      <c r="G521" s="37" t="n">
        <v>0</v>
      </c>
      <c r="H521" s="37" t="n">
        <v>0</v>
      </c>
      <c r="I521" s="37" t="n">
        <v>0</v>
      </c>
      <c r="J521" s="37" t="n">
        <v>0</v>
      </c>
      <c r="K521" s="37" t="n">
        <v>0</v>
      </c>
      <c r="L521" s="37" t="n">
        <v>0</v>
      </c>
      <c r="M521" s="37" t="n">
        <v>0</v>
      </c>
      <c r="N521" s="37" t="n">
        <v>0</v>
      </c>
    </row>
    <row r="524" customFormat="false" ht="27.75" hidden="false" customHeight="true" outlineLevel="0" collapsed="false">
      <c r="B524" s="46" t="s">
        <v>121</v>
      </c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</row>
    <row r="525" customFormat="false" ht="3.75" hidden="false" customHeight="true" outlineLevel="0" collapsed="false"/>
    <row r="526" customFormat="false" ht="25.5" hidden="false" customHeight="true" outlineLevel="0" collapsed="false">
      <c r="B526" s="47" t="s">
        <v>44</v>
      </c>
      <c r="C526" s="47" t="s">
        <v>68</v>
      </c>
      <c r="D526" s="47" t="s">
        <v>69</v>
      </c>
      <c r="E526" s="47" t="s">
        <v>70</v>
      </c>
      <c r="F526" s="47" t="s">
        <v>71</v>
      </c>
      <c r="G526" s="47" t="s">
        <v>72</v>
      </c>
      <c r="H526" s="47" t="s">
        <v>73</v>
      </c>
      <c r="I526" s="47" t="s">
        <v>74</v>
      </c>
      <c r="J526" s="47" t="s">
        <v>75</v>
      </c>
      <c r="K526" s="47" t="s">
        <v>76</v>
      </c>
      <c r="L526" s="47" t="s">
        <v>77</v>
      </c>
      <c r="M526" s="47" t="s">
        <v>78</v>
      </c>
      <c r="N526" s="47" t="s">
        <v>79</v>
      </c>
    </row>
    <row r="527" customFormat="false" ht="18" hidden="false" customHeight="true" outlineLevel="0" collapsed="false">
      <c r="B527" s="36" t="s">
        <v>80</v>
      </c>
      <c r="C527" s="37" t="n">
        <v>16</v>
      </c>
      <c r="D527" s="37" t="n">
        <v>0</v>
      </c>
      <c r="E527" s="37" t="n">
        <v>0</v>
      </c>
      <c r="F527" s="37" t="n">
        <v>0</v>
      </c>
      <c r="G527" s="37" t="n">
        <v>0</v>
      </c>
      <c r="H527" s="37" t="n">
        <v>0</v>
      </c>
      <c r="I527" s="37" t="n">
        <v>0</v>
      </c>
      <c r="J527" s="37" t="n">
        <v>0</v>
      </c>
      <c r="K527" s="37" t="n">
        <v>0</v>
      </c>
      <c r="L527" s="37" t="n">
        <v>0</v>
      </c>
      <c r="M527" s="37" t="n">
        <v>0</v>
      </c>
      <c r="N527" s="37" t="n">
        <v>0</v>
      </c>
    </row>
    <row r="528" customFormat="false" ht="18" hidden="false" customHeight="true" outlineLevel="0" collapsed="false">
      <c r="B528" s="38" t="s">
        <v>81</v>
      </c>
      <c r="C528" s="39" t="n">
        <v>0</v>
      </c>
      <c r="D528" s="39" t="n">
        <v>0</v>
      </c>
      <c r="E528" s="39" t="n">
        <v>0</v>
      </c>
      <c r="F528" s="39" t="n">
        <v>0</v>
      </c>
      <c r="G528" s="39" t="n">
        <v>0</v>
      </c>
      <c r="H528" s="39" t="n">
        <v>0</v>
      </c>
      <c r="I528" s="39" t="n">
        <v>0</v>
      </c>
      <c r="J528" s="39" t="n">
        <v>0</v>
      </c>
      <c r="K528" s="39" t="n">
        <v>0</v>
      </c>
      <c r="L528" s="39" t="n">
        <v>0</v>
      </c>
      <c r="M528" s="39" t="n">
        <v>0</v>
      </c>
      <c r="N528" s="39" t="n">
        <v>0</v>
      </c>
    </row>
    <row r="529" customFormat="false" ht="18" hidden="false" customHeight="true" outlineLevel="0" collapsed="false">
      <c r="B529" s="40" t="s">
        <v>82</v>
      </c>
      <c r="C529" s="41" t="n">
        <v>0</v>
      </c>
      <c r="D529" s="41" t="n">
        <v>0</v>
      </c>
      <c r="E529" s="41" t="n">
        <v>0</v>
      </c>
      <c r="F529" s="41" t="n">
        <v>0</v>
      </c>
      <c r="G529" s="41" t="n">
        <v>0</v>
      </c>
      <c r="H529" s="41" t="n">
        <v>0</v>
      </c>
      <c r="I529" s="41" t="n">
        <v>0</v>
      </c>
      <c r="J529" s="41" t="n">
        <v>0</v>
      </c>
      <c r="K529" s="41" t="n">
        <v>0</v>
      </c>
      <c r="L529" s="41" t="n">
        <v>0</v>
      </c>
      <c r="M529" s="41" t="n">
        <v>0</v>
      </c>
      <c r="N529" s="41" t="n">
        <v>0</v>
      </c>
    </row>
    <row r="530" customFormat="false" ht="18" hidden="false" customHeight="true" outlineLevel="0" collapsed="false">
      <c r="B530" s="38" t="s">
        <v>83</v>
      </c>
      <c r="C530" s="39" t="n">
        <v>0</v>
      </c>
      <c r="D530" s="39" t="n">
        <v>0</v>
      </c>
      <c r="E530" s="39" t="n">
        <v>0</v>
      </c>
      <c r="F530" s="39" t="n">
        <v>0</v>
      </c>
      <c r="G530" s="39" t="n">
        <v>0</v>
      </c>
      <c r="H530" s="39" t="n">
        <v>0</v>
      </c>
      <c r="I530" s="39" t="n">
        <v>0</v>
      </c>
      <c r="J530" s="39" t="n">
        <v>0</v>
      </c>
      <c r="K530" s="39" t="n">
        <v>0</v>
      </c>
      <c r="L530" s="39" t="n">
        <v>0</v>
      </c>
      <c r="M530" s="39" t="n">
        <v>0</v>
      </c>
      <c r="N530" s="39" t="n">
        <v>0</v>
      </c>
    </row>
    <row r="531" customFormat="false" ht="18" hidden="false" customHeight="true" outlineLevel="0" collapsed="false">
      <c r="B531" s="42" t="s">
        <v>84</v>
      </c>
      <c r="C531" s="43" t="n">
        <f aca="false">SUMPRODUCT((MONTH('⚫ Confirmed Attrition'!$G$5:$G$1000)=1)*(YEAR('⚫ Confirmed Attrition'!$G$5:$G$1000)=2026)*('⚫ Confirmed Attrition'!$D$5:$D$1000="Leah Bernadette Lavalle Bringas"))</f>
        <v>0</v>
      </c>
      <c r="D531" s="43" t="n">
        <f aca="false">SUMPRODUCT((MONTH('⚫ Confirmed Attrition'!$G$5:$G$1000)=2)*(YEAR('⚫ Confirmed Attrition'!$G$5:$G$1000)=2026)*('⚫ Confirmed Attrition'!$D$5:$D$1000="Leah Bernadette Lavalle Bringas"))</f>
        <v>0</v>
      </c>
      <c r="E531" s="43" t="n">
        <f aca="false">SUMPRODUCT((MONTH('⚫ Confirmed Attrition'!$G$5:$G$1000)=3)*(YEAR('⚫ Confirmed Attrition'!$G$5:$G$1000)=2026)*('⚫ Confirmed Attrition'!$D$5:$D$1000="Leah Bernadette Lavalle Bringas"))</f>
        <v>0</v>
      </c>
      <c r="F531" s="43" t="n">
        <f aca="false">SUMPRODUCT((MONTH('⚫ Confirmed Attrition'!$G$5:$G$1000)=4)*(YEAR('⚫ Confirmed Attrition'!$G$5:$G$1000)=2026)*('⚫ Confirmed Attrition'!$D$5:$D$1000="Leah Bernadette Lavalle Bringas"))</f>
        <v>0</v>
      </c>
      <c r="G531" s="43" t="n">
        <f aca="false">SUMPRODUCT((MONTH('⚫ Confirmed Attrition'!$G$5:$G$1000)=5)*(YEAR('⚫ Confirmed Attrition'!$G$5:$G$1000)=2026)*('⚫ Confirmed Attrition'!$D$5:$D$1000="Leah Bernadette Lavalle Bringas"))</f>
        <v>0</v>
      </c>
      <c r="H531" s="43" t="n">
        <f aca="false">SUMPRODUCT((MONTH('⚫ Confirmed Attrition'!$G$5:$G$1000)=6)*(YEAR('⚫ Confirmed Attrition'!$G$5:$G$1000)=2026)*('⚫ Confirmed Attrition'!$D$5:$D$1000="Leah Bernadette Lavalle Bringas"))</f>
        <v>0</v>
      </c>
      <c r="I531" s="43" t="n">
        <f aca="false">SUMPRODUCT((MONTH('⚫ Confirmed Attrition'!$G$5:$G$1000)=7)*(YEAR('⚫ Confirmed Attrition'!$G$5:$G$1000)=2026)*('⚫ Confirmed Attrition'!$D$5:$D$1000="Leah Bernadette Lavalle Bringas"))</f>
        <v>0</v>
      </c>
      <c r="J531" s="43" t="n">
        <f aca="false">SUMPRODUCT((MONTH('⚫ Confirmed Attrition'!$G$5:$G$1000)=8)*(YEAR('⚫ Confirmed Attrition'!$G$5:$G$1000)=2026)*('⚫ Confirmed Attrition'!$D$5:$D$1000="Leah Bernadette Lavalle Bringas"))</f>
        <v>0</v>
      </c>
      <c r="K531" s="43" t="n">
        <f aca="false">SUMPRODUCT((MONTH('⚫ Confirmed Attrition'!$G$5:$G$1000)=9)*(YEAR('⚫ Confirmed Attrition'!$G$5:$G$1000)=2026)*('⚫ Confirmed Attrition'!$D$5:$D$1000="Leah Bernadette Lavalle Bringas"))</f>
        <v>0</v>
      </c>
      <c r="L531" s="43" t="n">
        <f aca="false">SUMPRODUCT((MONTH('⚫ Confirmed Attrition'!$G$5:$G$1000)=10)*(YEAR('⚫ Confirmed Attrition'!$G$5:$G$1000)=2026)*('⚫ Confirmed Attrition'!$D$5:$D$1000="Leah Bernadette Lavalle Bringas"))</f>
        <v>0</v>
      </c>
      <c r="M531" s="43" t="n">
        <f aca="false">SUMPRODUCT((MONTH('⚫ Confirmed Attrition'!$G$5:$G$1000)=11)*(YEAR('⚫ Confirmed Attrition'!$G$5:$G$1000)=2026)*('⚫ Confirmed Attrition'!$D$5:$D$1000="Leah Bernadette Lavalle Bringas"))</f>
        <v>0</v>
      </c>
      <c r="N531" s="43" t="n">
        <f aca="false">SUMPRODUCT((MONTH('⚫ Confirmed Attrition'!$G$5:$G$1000)=12)*(YEAR('⚫ Confirmed Attrition'!$G$5:$G$1000)=2026)*('⚫ Confirmed Attrition'!$D$5:$D$1000="Leah Bernadette Lavalle Bringas"))</f>
        <v>0</v>
      </c>
    </row>
    <row r="532" customFormat="false" ht="18" hidden="false" customHeight="true" outlineLevel="0" collapsed="false">
      <c r="B532" s="44" t="s">
        <v>85</v>
      </c>
      <c r="C532" s="45" t="n">
        <v>0</v>
      </c>
      <c r="D532" s="45" t="n">
        <v>0</v>
      </c>
      <c r="E532" s="45" t="n">
        <v>0</v>
      </c>
      <c r="F532" s="45" t="n">
        <v>0</v>
      </c>
      <c r="G532" s="45" t="n">
        <v>0</v>
      </c>
      <c r="H532" s="45" t="n">
        <v>0</v>
      </c>
      <c r="I532" s="45" t="n">
        <v>0</v>
      </c>
      <c r="J532" s="45" t="n">
        <v>0</v>
      </c>
      <c r="K532" s="45" t="n">
        <v>0</v>
      </c>
      <c r="L532" s="45" t="n">
        <v>0</v>
      </c>
      <c r="M532" s="45" t="n">
        <v>0</v>
      </c>
      <c r="N532" s="45" t="n">
        <v>0</v>
      </c>
    </row>
    <row r="533" customFormat="false" ht="18" hidden="false" customHeight="true" outlineLevel="0" collapsed="false">
      <c r="B533" s="44" t="s">
        <v>86</v>
      </c>
      <c r="C533" s="45" t="n">
        <v>0</v>
      </c>
      <c r="D533" s="45" t="n">
        <v>0</v>
      </c>
      <c r="E533" s="45" t="n">
        <v>0</v>
      </c>
      <c r="F533" s="45" t="n">
        <v>0</v>
      </c>
      <c r="G533" s="45" t="n">
        <v>0</v>
      </c>
      <c r="H533" s="45" t="n">
        <v>0</v>
      </c>
      <c r="I533" s="45" t="n">
        <v>0</v>
      </c>
      <c r="J533" s="45" t="n">
        <v>0</v>
      </c>
      <c r="K533" s="45" t="n">
        <v>0</v>
      </c>
      <c r="L533" s="45" t="n">
        <v>0</v>
      </c>
      <c r="M533" s="45" t="n">
        <v>0</v>
      </c>
      <c r="N533" s="45" t="n">
        <v>0</v>
      </c>
    </row>
    <row r="534" customFormat="false" ht="18" hidden="false" customHeight="true" outlineLevel="0" collapsed="false">
      <c r="B534" s="44" t="s">
        <v>87</v>
      </c>
      <c r="C534" s="45" t="n">
        <v>0</v>
      </c>
      <c r="D534" s="45" t="n">
        <v>0</v>
      </c>
      <c r="E534" s="45" t="n">
        <v>0</v>
      </c>
      <c r="F534" s="45" t="n">
        <v>0</v>
      </c>
      <c r="G534" s="45" t="n">
        <v>0</v>
      </c>
      <c r="H534" s="45" t="n">
        <v>0</v>
      </c>
      <c r="I534" s="45" t="n">
        <v>0</v>
      </c>
      <c r="J534" s="45" t="n">
        <v>0</v>
      </c>
      <c r="K534" s="45" t="n">
        <v>0</v>
      </c>
      <c r="L534" s="45" t="n">
        <v>0</v>
      </c>
      <c r="M534" s="45" t="n">
        <v>0</v>
      </c>
      <c r="N534" s="45" t="n">
        <v>0</v>
      </c>
    </row>
    <row r="535" customFormat="false" ht="18" hidden="false" customHeight="true" outlineLevel="0" collapsed="false">
      <c r="B535" s="36" t="s">
        <v>88</v>
      </c>
      <c r="C535" s="37" t="n">
        <v>16</v>
      </c>
      <c r="D535" s="37" t="n">
        <v>0</v>
      </c>
      <c r="E535" s="37" t="n">
        <v>0</v>
      </c>
      <c r="F535" s="37" t="n">
        <v>0</v>
      </c>
      <c r="G535" s="37" t="n">
        <v>0</v>
      </c>
      <c r="H535" s="37" t="n">
        <v>0</v>
      </c>
      <c r="I535" s="37" t="n">
        <v>0</v>
      </c>
      <c r="J535" s="37" t="n">
        <v>0</v>
      </c>
      <c r="K535" s="37" t="n">
        <v>0</v>
      </c>
      <c r="L535" s="37" t="n">
        <v>0</v>
      </c>
      <c r="M535" s="37" t="n">
        <v>0</v>
      </c>
      <c r="N535" s="37" t="n">
        <v>0</v>
      </c>
    </row>
    <row r="538" customFormat="false" ht="27.75" hidden="false" customHeight="true" outlineLevel="0" collapsed="false">
      <c r="B538" s="46" t="s">
        <v>122</v>
      </c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</row>
    <row r="539" customFormat="false" ht="3.75" hidden="false" customHeight="true" outlineLevel="0" collapsed="false"/>
    <row r="540" customFormat="false" ht="25.5" hidden="false" customHeight="true" outlineLevel="0" collapsed="false">
      <c r="B540" s="47" t="s">
        <v>45</v>
      </c>
      <c r="C540" s="47" t="s">
        <v>68</v>
      </c>
      <c r="D540" s="47" t="s">
        <v>69</v>
      </c>
      <c r="E540" s="47" t="s">
        <v>70</v>
      </c>
      <c r="F540" s="47" t="s">
        <v>71</v>
      </c>
      <c r="G540" s="47" t="s">
        <v>72</v>
      </c>
      <c r="H540" s="47" t="s">
        <v>73</v>
      </c>
      <c r="I540" s="47" t="s">
        <v>74</v>
      </c>
      <c r="J540" s="47" t="s">
        <v>75</v>
      </c>
      <c r="K540" s="47" t="s">
        <v>76</v>
      </c>
      <c r="L540" s="47" t="s">
        <v>77</v>
      </c>
      <c r="M540" s="47" t="s">
        <v>78</v>
      </c>
      <c r="N540" s="47" t="s">
        <v>79</v>
      </c>
    </row>
    <row r="541" customFormat="false" ht="18" hidden="false" customHeight="true" outlineLevel="0" collapsed="false">
      <c r="B541" s="36" t="s">
        <v>80</v>
      </c>
      <c r="C541" s="37" t="n">
        <v>2</v>
      </c>
      <c r="D541" s="37" t="n">
        <v>0</v>
      </c>
      <c r="E541" s="37" t="n">
        <v>0</v>
      </c>
      <c r="F541" s="37" t="n">
        <v>0</v>
      </c>
      <c r="G541" s="37" t="n">
        <v>0</v>
      </c>
      <c r="H541" s="37" t="n">
        <v>0</v>
      </c>
      <c r="I541" s="37" t="n">
        <v>0</v>
      </c>
      <c r="J541" s="37" t="n">
        <v>0</v>
      </c>
      <c r="K541" s="37" t="n">
        <v>0</v>
      </c>
      <c r="L541" s="37" t="n">
        <v>0</v>
      </c>
      <c r="M541" s="37" t="n">
        <v>0</v>
      </c>
      <c r="N541" s="37" t="n">
        <v>0</v>
      </c>
    </row>
    <row r="542" customFormat="false" ht="18" hidden="false" customHeight="true" outlineLevel="0" collapsed="false">
      <c r="B542" s="38" t="s">
        <v>81</v>
      </c>
      <c r="C542" s="39" t="n">
        <v>0</v>
      </c>
      <c r="D542" s="39" t="n">
        <v>0</v>
      </c>
      <c r="E542" s="39" t="n">
        <v>0</v>
      </c>
      <c r="F542" s="39" t="n">
        <v>0</v>
      </c>
      <c r="G542" s="39" t="n">
        <v>0</v>
      </c>
      <c r="H542" s="39" t="n">
        <v>0</v>
      </c>
      <c r="I542" s="39" t="n">
        <v>0</v>
      </c>
      <c r="J542" s="39" t="n">
        <v>0</v>
      </c>
      <c r="K542" s="39" t="n">
        <v>0</v>
      </c>
      <c r="L542" s="39" t="n">
        <v>0</v>
      </c>
      <c r="M542" s="39" t="n">
        <v>0</v>
      </c>
      <c r="N542" s="39" t="n">
        <v>0</v>
      </c>
    </row>
    <row r="543" customFormat="false" ht="18" hidden="false" customHeight="true" outlineLevel="0" collapsed="false">
      <c r="B543" s="40" t="s">
        <v>82</v>
      </c>
      <c r="C543" s="41" t="n">
        <v>0</v>
      </c>
      <c r="D543" s="41" t="n">
        <v>0</v>
      </c>
      <c r="E543" s="41" t="n">
        <v>0</v>
      </c>
      <c r="F543" s="41" t="n">
        <v>0</v>
      </c>
      <c r="G543" s="41" t="n">
        <v>0</v>
      </c>
      <c r="H543" s="41" t="n">
        <v>0</v>
      </c>
      <c r="I543" s="41" t="n">
        <v>0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n">
        <v>0</v>
      </c>
    </row>
    <row r="544" customFormat="false" ht="18" hidden="false" customHeight="true" outlineLevel="0" collapsed="false">
      <c r="B544" s="38" t="s">
        <v>83</v>
      </c>
      <c r="C544" s="39" t="n">
        <v>0</v>
      </c>
      <c r="D544" s="39" t="n">
        <v>0</v>
      </c>
      <c r="E544" s="39" t="n">
        <v>0</v>
      </c>
      <c r="F544" s="39" t="n">
        <v>0</v>
      </c>
      <c r="G544" s="39" t="n">
        <v>0</v>
      </c>
      <c r="H544" s="39" t="n">
        <v>0</v>
      </c>
      <c r="I544" s="39" t="n">
        <v>0</v>
      </c>
      <c r="J544" s="39" t="n">
        <v>0</v>
      </c>
      <c r="K544" s="39" t="n">
        <v>0</v>
      </c>
      <c r="L544" s="39" t="n">
        <v>0</v>
      </c>
      <c r="M544" s="39" t="n">
        <v>0</v>
      </c>
      <c r="N544" s="39" t="n">
        <v>0</v>
      </c>
    </row>
    <row r="545" customFormat="false" ht="18" hidden="false" customHeight="true" outlineLevel="0" collapsed="false">
      <c r="B545" s="42" t="s">
        <v>84</v>
      </c>
      <c r="C545" s="43" t="n">
        <f aca="false">SUMPRODUCT((MONTH('⚫ Confirmed Attrition'!$G$5:$G$1000)=1)*(YEAR('⚫ Confirmed Attrition'!$G$5:$G$1000)=2026)*('⚫ Confirmed Attrition'!$D$5:$D$1000="Lee Stephen Valde Fat"))</f>
        <v>0</v>
      </c>
      <c r="D545" s="43" t="n">
        <f aca="false">SUMPRODUCT((MONTH('⚫ Confirmed Attrition'!$G$5:$G$1000)=2)*(YEAR('⚫ Confirmed Attrition'!$G$5:$G$1000)=2026)*('⚫ Confirmed Attrition'!$D$5:$D$1000="Lee Stephen Valde Fat"))</f>
        <v>0</v>
      </c>
      <c r="E545" s="43" t="n">
        <f aca="false">SUMPRODUCT((MONTH('⚫ Confirmed Attrition'!$G$5:$G$1000)=3)*(YEAR('⚫ Confirmed Attrition'!$G$5:$G$1000)=2026)*('⚫ Confirmed Attrition'!$D$5:$D$1000="Lee Stephen Valde Fat"))</f>
        <v>0</v>
      </c>
      <c r="F545" s="43" t="n">
        <f aca="false">SUMPRODUCT((MONTH('⚫ Confirmed Attrition'!$G$5:$G$1000)=4)*(YEAR('⚫ Confirmed Attrition'!$G$5:$G$1000)=2026)*('⚫ Confirmed Attrition'!$D$5:$D$1000="Lee Stephen Valde Fat"))</f>
        <v>0</v>
      </c>
      <c r="G545" s="43" t="n">
        <f aca="false">SUMPRODUCT((MONTH('⚫ Confirmed Attrition'!$G$5:$G$1000)=5)*(YEAR('⚫ Confirmed Attrition'!$G$5:$G$1000)=2026)*('⚫ Confirmed Attrition'!$D$5:$D$1000="Lee Stephen Valde Fat"))</f>
        <v>0</v>
      </c>
      <c r="H545" s="43" t="n">
        <f aca="false">SUMPRODUCT((MONTH('⚫ Confirmed Attrition'!$G$5:$G$1000)=6)*(YEAR('⚫ Confirmed Attrition'!$G$5:$G$1000)=2026)*('⚫ Confirmed Attrition'!$D$5:$D$1000="Lee Stephen Valde Fat"))</f>
        <v>0</v>
      </c>
      <c r="I545" s="43" t="n">
        <f aca="false">SUMPRODUCT((MONTH('⚫ Confirmed Attrition'!$G$5:$G$1000)=7)*(YEAR('⚫ Confirmed Attrition'!$G$5:$G$1000)=2026)*('⚫ Confirmed Attrition'!$D$5:$D$1000="Lee Stephen Valde Fat"))</f>
        <v>0</v>
      </c>
      <c r="J545" s="43" t="n">
        <f aca="false">SUMPRODUCT((MONTH('⚫ Confirmed Attrition'!$G$5:$G$1000)=8)*(YEAR('⚫ Confirmed Attrition'!$G$5:$G$1000)=2026)*('⚫ Confirmed Attrition'!$D$5:$D$1000="Lee Stephen Valde Fat"))</f>
        <v>0</v>
      </c>
      <c r="K545" s="43" t="n">
        <f aca="false">SUMPRODUCT((MONTH('⚫ Confirmed Attrition'!$G$5:$G$1000)=9)*(YEAR('⚫ Confirmed Attrition'!$G$5:$G$1000)=2026)*('⚫ Confirmed Attrition'!$D$5:$D$1000="Lee Stephen Valde Fat"))</f>
        <v>0</v>
      </c>
      <c r="L545" s="43" t="n">
        <f aca="false">SUMPRODUCT((MONTH('⚫ Confirmed Attrition'!$G$5:$G$1000)=10)*(YEAR('⚫ Confirmed Attrition'!$G$5:$G$1000)=2026)*('⚫ Confirmed Attrition'!$D$5:$D$1000="Lee Stephen Valde Fat"))</f>
        <v>0</v>
      </c>
      <c r="M545" s="43" t="n">
        <f aca="false">SUMPRODUCT((MONTH('⚫ Confirmed Attrition'!$G$5:$G$1000)=11)*(YEAR('⚫ Confirmed Attrition'!$G$5:$G$1000)=2026)*('⚫ Confirmed Attrition'!$D$5:$D$1000="Lee Stephen Valde Fat"))</f>
        <v>0</v>
      </c>
      <c r="N545" s="43" t="n">
        <f aca="false">SUMPRODUCT((MONTH('⚫ Confirmed Attrition'!$G$5:$G$1000)=12)*(YEAR('⚫ Confirmed Attrition'!$G$5:$G$1000)=2026)*('⚫ Confirmed Attrition'!$D$5:$D$1000="Lee Stephen Valde Fat"))</f>
        <v>0</v>
      </c>
    </row>
    <row r="546" customFormat="false" ht="18" hidden="false" customHeight="true" outlineLevel="0" collapsed="false">
      <c r="B546" s="44" t="s">
        <v>85</v>
      </c>
      <c r="C546" s="45" t="n">
        <v>0</v>
      </c>
      <c r="D546" s="45" t="n">
        <v>0</v>
      </c>
      <c r="E546" s="45" t="n">
        <v>0</v>
      </c>
      <c r="F546" s="45" t="n">
        <v>0</v>
      </c>
      <c r="G546" s="45" t="n">
        <v>0</v>
      </c>
      <c r="H546" s="45" t="n">
        <v>0</v>
      </c>
      <c r="I546" s="45" t="n">
        <v>0</v>
      </c>
      <c r="J546" s="45" t="n">
        <v>0</v>
      </c>
      <c r="K546" s="45" t="n">
        <v>0</v>
      </c>
      <c r="L546" s="45" t="n">
        <v>0</v>
      </c>
      <c r="M546" s="45" t="n">
        <v>0</v>
      </c>
      <c r="N546" s="45" t="n">
        <v>0</v>
      </c>
    </row>
    <row r="547" customFormat="false" ht="18" hidden="false" customHeight="true" outlineLevel="0" collapsed="false">
      <c r="B547" s="44" t="s">
        <v>86</v>
      </c>
      <c r="C547" s="45" t="n">
        <v>0</v>
      </c>
      <c r="D547" s="45" t="n">
        <v>0</v>
      </c>
      <c r="E547" s="45" t="n">
        <v>0</v>
      </c>
      <c r="F547" s="45" t="n">
        <v>0</v>
      </c>
      <c r="G547" s="45" t="n">
        <v>0</v>
      </c>
      <c r="H547" s="45" t="n">
        <v>0</v>
      </c>
      <c r="I547" s="45" t="n">
        <v>0</v>
      </c>
      <c r="J547" s="45" t="n">
        <v>0</v>
      </c>
      <c r="K547" s="45" t="n">
        <v>0</v>
      </c>
      <c r="L547" s="45" t="n">
        <v>0</v>
      </c>
      <c r="M547" s="45" t="n">
        <v>0</v>
      </c>
      <c r="N547" s="45" t="n">
        <v>0</v>
      </c>
    </row>
    <row r="548" customFormat="false" ht="18" hidden="false" customHeight="true" outlineLevel="0" collapsed="false">
      <c r="B548" s="44" t="s">
        <v>87</v>
      </c>
      <c r="C548" s="45" t="n">
        <v>0</v>
      </c>
      <c r="D548" s="45" t="n">
        <v>0</v>
      </c>
      <c r="E548" s="45" t="n">
        <v>0</v>
      </c>
      <c r="F548" s="45" t="n">
        <v>0</v>
      </c>
      <c r="G548" s="45" t="n">
        <v>0</v>
      </c>
      <c r="H548" s="45" t="n">
        <v>0</v>
      </c>
      <c r="I548" s="45" t="n">
        <v>0</v>
      </c>
      <c r="J548" s="45" t="n">
        <v>0</v>
      </c>
      <c r="K548" s="45" t="n">
        <v>0</v>
      </c>
      <c r="L548" s="45" t="n">
        <v>0</v>
      </c>
      <c r="M548" s="45" t="n">
        <v>0</v>
      </c>
      <c r="N548" s="45" t="n">
        <v>0</v>
      </c>
    </row>
    <row r="549" customFormat="false" ht="18" hidden="false" customHeight="true" outlineLevel="0" collapsed="false">
      <c r="B549" s="36" t="s">
        <v>88</v>
      </c>
      <c r="C549" s="37" t="n">
        <v>2</v>
      </c>
      <c r="D549" s="37" t="n">
        <v>0</v>
      </c>
      <c r="E549" s="37" t="n">
        <v>0</v>
      </c>
      <c r="F549" s="37" t="n">
        <v>0</v>
      </c>
      <c r="G549" s="37" t="n">
        <v>0</v>
      </c>
      <c r="H549" s="37" t="n">
        <v>0</v>
      </c>
      <c r="I549" s="37" t="n">
        <v>0</v>
      </c>
      <c r="J549" s="37" t="n">
        <v>0</v>
      </c>
      <c r="K549" s="37" t="n">
        <v>0</v>
      </c>
      <c r="L549" s="37" t="n">
        <v>0</v>
      </c>
      <c r="M549" s="37" t="n">
        <v>0</v>
      </c>
      <c r="N549" s="37" t="n">
        <v>0</v>
      </c>
    </row>
    <row r="552" customFormat="false" ht="27.75" hidden="false" customHeight="true" outlineLevel="0" collapsed="false">
      <c r="B552" s="46" t="s">
        <v>123</v>
      </c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</row>
    <row r="553" customFormat="false" ht="3.75" hidden="false" customHeight="true" outlineLevel="0" collapsed="false"/>
    <row r="554" customFormat="false" ht="25.5" hidden="false" customHeight="true" outlineLevel="0" collapsed="false">
      <c r="B554" s="47" t="s">
        <v>46</v>
      </c>
      <c r="C554" s="47" t="s">
        <v>68</v>
      </c>
      <c r="D554" s="47" t="s">
        <v>69</v>
      </c>
      <c r="E554" s="47" t="s">
        <v>70</v>
      </c>
      <c r="F554" s="47" t="s">
        <v>71</v>
      </c>
      <c r="G554" s="47" t="s">
        <v>72</v>
      </c>
      <c r="H554" s="47" t="s">
        <v>73</v>
      </c>
      <c r="I554" s="47" t="s">
        <v>74</v>
      </c>
      <c r="J554" s="47" t="s">
        <v>75</v>
      </c>
      <c r="K554" s="47" t="s">
        <v>76</v>
      </c>
      <c r="L554" s="47" t="s">
        <v>77</v>
      </c>
      <c r="M554" s="47" t="s">
        <v>78</v>
      </c>
      <c r="N554" s="47" t="s">
        <v>79</v>
      </c>
    </row>
    <row r="555" customFormat="false" ht="18" hidden="false" customHeight="true" outlineLevel="0" collapsed="false">
      <c r="B555" s="36" t="s">
        <v>80</v>
      </c>
      <c r="C555" s="37" t="n">
        <v>3</v>
      </c>
      <c r="D555" s="37" t="n">
        <v>0</v>
      </c>
      <c r="E555" s="37" t="n">
        <v>0</v>
      </c>
      <c r="F555" s="37" t="n">
        <v>0</v>
      </c>
      <c r="G555" s="37" t="n">
        <v>0</v>
      </c>
      <c r="H555" s="37" t="n">
        <v>0</v>
      </c>
      <c r="I555" s="37" t="n">
        <v>0</v>
      </c>
      <c r="J555" s="37" t="n">
        <v>0</v>
      </c>
      <c r="K555" s="37" t="n">
        <v>0</v>
      </c>
      <c r="L555" s="37" t="n">
        <v>0</v>
      </c>
      <c r="M555" s="37" t="n">
        <v>0</v>
      </c>
      <c r="N555" s="37" t="n">
        <v>0</v>
      </c>
    </row>
    <row r="556" customFormat="false" ht="18" hidden="false" customHeight="true" outlineLevel="0" collapsed="false">
      <c r="B556" s="38" t="s">
        <v>81</v>
      </c>
      <c r="C556" s="39" t="n">
        <v>0</v>
      </c>
      <c r="D556" s="39" t="n">
        <v>0</v>
      </c>
      <c r="E556" s="39" t="n">
        <v>0</v>
      </c>
      <c r="F556" s="39" t="n">
        <v>0</v>
      </c>
      <c r="G556" s="39" t="n">
        <v>0</v>
      </c>
      <c r="H556" s="39" t="n">
        <v>0</v>
      </c>
      <c r="I556" s="39" t="n">
        <v>0</v>
      </c>
      <c r="J556" s="39" t="n">
        <v>0</v>
      </c>
      <c r="K556" s="39" t="n">
        <v>0</v>
      </c>
      <c r="L556" s="39" t="n">
        <v>0</v>
      </c>
      <c r="M556" s="39" t="n">
        <v>0</v>
      </c>
      <c r="N556" s="39" t="n">
        <v>0</v>
      </c>
    </row>
    <row r="557" customFormat="false" ht="18" hidden="false" customHeight="true" outlineLevel="0" collapsed="false">
      <c r="B557" s="40" t="s">
        <v>82</v>
      </c>
      <c r="C557" s="41" t="n">
        <v>0</v>
      </c>
      <c r="D557" s="41" t="n">
        <v>0</v>
      </c>
      <c r="E557" s="41" t="n">
        <v>0</v>
      </c>
      <c r="F557" s="41" t="n">
        <v>0</v>
      </c>
      <c r="G557" s="41" t="n">
        <v>0</v>
      </c>
      <c r="H557" s="41" t="n">
        <v>0</v>
      </c>
      <c r="I557" s="41" t="n">
        <v>0</v>
      </c>
      <c r="J557" s="41" t="n">
        <v>0</v>
      </c>
      <c r="K557" s="41" t="n">
        <v>0</v>
      </c>
      <c r="L557" s="41" t="n">
        <v>0</v>
      </c>
      <c r="M557" s="41" t="n">
        <v>0</v>
      </c>
      <c r="N557" s="41" t="n">
        <v>0</v>
      </c>
    </row>
    <row r="558" customFormat="false" ht="18" hidden="false" customHeight="true" outlineLevel="0" collapsed="false">
      <c r="B558" s="38" t="s">
        <v>83</v>
      </c>
      <c r="C558" s="39" t="n">
        <v>0</v>
      </c>
      <c r="D558" s="39" t="n">
        <v>0</v>
      </c>
      <c r="E558" s="39" t="n">
        <v>0</v>
      </c>
      <c r="F558" s="39" t="n">
        <v>0</v>
      </c>
      <c r="G558" s="39" t="n">
        <v>0</v>
      </c>
      <c r="H558" s="39" t="n">
        <v>0</v>
      </c>
      <c r="I558" s="39" t="n">
        <v>0</v>
      </c>
      <c r="J558" s="39" t="n">
        <v>0</v>
      </c>
      <c r="K558" s="39" t="n">
        <v>0</v>
      </c>
      <c r="L558" s="39" t="n">
        <v>0</v>
      </c>
      <c r="M558" s="39" t="n">
        <v>0</v>
      </c>
      <c r="N558" s="39" t="n">
        <v>0</v>
      </c>
    </row>
    <row r="559" customFormat="false" ht="18" hidden="false" customHeight="true" outlineLevel="0" collapsed="false">
      <c r="B559" s="42" t="s">
        <v>84</v>
      </c>
      <c r="C559" s="43" t="n">
        <f aca="false">SUMPRODUCT((MONTH('⚫ Confirmed Attrition'!$G$5:$G$1000)=1)*(YEAR('⚫ Confirmed Attrition'!$G$5:$G$1000)=2026)*('⚫ Confirmed Attrition'!$D$5:$D$1000="Leou Alven Narito Comendador"))</f>
        <v>0</v>
      </c>
      <c r="D559" s="43" t="n">
        <f aca="false">SUMPRODUCT((MONTH('⚫ Confirmed Attrition'!$G$5:$G$1000)=2)*(YEAR('⚫ Confirmed Attrition'!$G$5:$G$1000)=2026)*('⚫ Confirmed Attrition'!$D$5:$D$1000="Leou Alven Narito Comendador"))</f>
        <v>0</v>
      </c>
      <c r="E559" s="43" t="n">
        <f aca="false">SUMPRODUCT((MONTH('⚫ Confirmed Attrition'!$G$5:$G$1000)=3)*(YEAR('⚫ Confirmed Attrition'!$G$5:$G$1000)=2026)*('⚫ Confirmed Attrition'!$D$5:$D$1000="Leou Alven Narito Comendador"))</f>
        <v>0</v>
      </c>
      <c r="F559" s="43" t="n">
        <f aca="false">SUMPRODUCT((MONTH('⚫ Confirmed Attrition'!$G$5:$G$1000)=4)*(YEAR('⚫ Confirmed Attrition'!$G$5:$G$1000)=2026)*('⚫ Confirmed Attrition'!$D$5:$D$1000="Leou Alven Narito Comendador"))</f>
        <v>0</v>
      </c>
      <c r="G559" s="43" t="n">
        <f aca="false">SUMPRODUCT((MONTH('⚫ Confirmed Attrition'!$G$5:$G$1000)=5)*(YEAR('⚫ Confirmed Attrition'!$G$5:$G$1000)=2026)*('⚫ Confirmed Attrition'!$D$5:$D$1000="Leou Alven Narito Comendador"))</f>
        <v>0</v>
      </c>
      <c r="H559" s="43" t="n">
        <f aca="false">SUMPRODUCT((MONTH('⚫ Confirmed Attrition'!$G$5:$G$1000)=6)*(YEAR('⚫ Confirmed Attrition'!$G$5:$G$1000)=2026)*('⚫ Confirmed Attrition'!$D$5:$D$1000="Leou Alven Narito Comendador"))</f>
        <v>0</v>
      </c>
      <c r="I559" s="43" t="n">
        <f aca="false">SUMPRODUCT((MONTH('⚫ Confirmed Attrition'!$G$5:$G$1000)=7)*(YEAR('⚫ Confirmed Attrition'!$G$5:$G$1000)=2026)*('⚫ Confirmed Attrition'!$D$5:$D$1000="Leou Alven Narito Comendador"))</f>
        <v>0</v>
      </c>
      <c r="J559" s="43" t="n">
        <f aca="false">SUMPRODUCT((MONTH('⚫ Confirmed Attrition'!$G$5:$G$1000)=8)*(YEAR('⚫ Confirmed Attrition'!$G$5:$G$1000)=2026)*('⚫ Confirmed Attrition'!$D$5:$D$1000="Leou Alven Narito Comendador"))</f>
        <v>0</v>
      </c>
      <c r="K559" s="43" t="n">
        <f aca="false">SUMPRODUCT((MONTH('⚫ Confirmed Attrition'!$G$5:$G$1000)=9)*(YEAR('⚫ Confirmed Attrition'!$G$5:$G$1000)=2026)*('⚫ Confirmed Attrition'!$D$5:$D$1000="Leou Alven Narito Comendador"))</f>
        <v>0</v>
      </c>
      <c r="L559" s="43" t="n">
        <f aca="false">SUMPRODUCT((MONTH('⚫ Confirmed Attrition'!$G$5:$G$1000)=10)*(YEAR('⚫ Confirmed Attrition'!$G$5:$G$1000)=2026)*('⚫ Confirmed Attrition'!$D$5:$D$1000="Leou Alven Narito Comendador"))</f>
        <v>0</v>
      </c>
      <c r="M559" s="43" t="n">
        <f aca="false">SUMPRODUCT((MONTH('⚫ Confirmed Attrition'!$G$5:$G$1000)=11)*(YEAR('⚫ Confirmed Attrition'!$G$5:$G$1000)=2026)*('⚫ Confirmed Attrition'!$D$5:$D$1000="Leou Alven Narito Comendador"))</f>
        <v>0</v>
      </c>
      <c r="N559" s="43" t="n">
        <f aca="false">SUMPRODUCT((MONTH('⚫ Confirmed Attrition'!$G$5:$G$1000)=12)*(YEAR('⚫ Confirmed Attrition'!$G$5:$G$1000)=2026)*('⚫ Confirmed Attrition'!$D$5:$D$1000="Leou Alven Narito Comendador"))</f>
        <v>0</v>
      </c>
    </row>
    <row r="560" customFormat="false" ht="18" hidden="false" customHeight="true" outlineLevel="0" collapsed="false">
      <c r="B560" s="44" t="s">
        <v>85</v>
      </c>
      <c r="C560" s="45" t="n">
        <v>0</v>
      </c>
      <c r="D560" s="45" t="n">
        <v>0</v>
      </c>
      <c r="E560" s="45" t="n">
        <v>0</v>
      </c>
      <c r="F560" s="45" t="n">
        <v>0</v>
      </c>
      <c r="G560" s="45" t="n">
        <v>0</v>
      </c>
      <c r="H560" s="45" t="n">
        <v>0</v>
      </c>
      <c r="I560" s="45" t="n">
        <v>0</v>
      </c>
      <c r="J560" s="45" t="n">
        <v>0</v>
      </c>
      <c r="K560" s="45" t="n">
        <v>0</v>
      </c>
      <c r="L560" s="45" t="n">
        <v>0</v>
      </c>
      <c r="M560" s="45" t="n">
        <v>0</v>
      </c>
      <c r="N560" s="45" t="n">
        <v>0</v>
      </c>
    </row>
    <row r="561" customFormat="false" ht="18" hidden="false" customHeight="true" outlineLevel="0" collapsed="false">
      <c r="B561" s="44" t="s">
        <v>86</v>
      </c>
      <c r="C561" s="45" t="n">
        <v>0</v>
      </c>
      <c r="D561" s="45" t="n">
        <v>0</v>
      </c>
      <c r="E561" s="45" t="n">
        <v>0</v>
      </c>
      <c r="F561" s="45" t="n">
        <v>0</v>
      </c>
      <c r="G561" s="45" t="n">
        <v>0</v>
      </c>
      <c r="H561" s="45" t="n">
        <v>0</v>
      </c>
      <c r="I561" s="45" t="n">
        <v>0</v>
      </c>
      <c r="J561" s="45" t="n">
        <v>0</v>
      </c>
      <c r="K561" s="45" t="n">
        <v>0</v>
      </c>
      <c r="L561" s="45" t="n">
        <v>0</v>
      </c>
      <c r="M561" s="45" t="n">
        <v>0</v>
      </c>
      <c r="N561" s="45" t="n">
        <v>0</v>
      </c>
    </row>
    <row r="562" customFormat="false" ht="18" hidden="false" customHeight="true" outlineLevel="0" collapsed="false">
      <c r="B562" s="44" t="s">
        <v>87</v>
      </c>
      <c r="C562" s="45" t="n">
        <v>0</v>
      </c>
      <c r="D562" s="45" t="n">
        <v>0</v>
      </c>
      <c r="E562" s="45" t="n">
        <v>0</v>
      </c>
      <c r="F562" s="45" t="n">
        <v>0</v>
      </c>
      <c r="G562" s="45" t="n">
        <v>0</v>
      </c>
      <c r="H562" s="45" t="n">
        <v>0</v>
      </c>
      <c r="I562" s="45" t="n">
        <v>0</v>
      </c>
      <c r="J562" s="45" t="n">
        <v>0</v>
      </c>
      <c r="K562" s="45" t="n">
        <v>0</v>
      </c>
      <c r="L562" s="45" t="n">
        <v>0</v>
      </c>
      <c r="M562" s="45" t="n">
        <v>0</v>
      </c>
      <c r="N562" s="45" t="n">
        <v>0</v>
      </c>
    </row>
    <row r="563" customFormat="false" ht="18" hidden="false" customHeight="true" outlineLevel="0" collapsed="false">
      <c r="B563" s="36" t="s">
        <v>88</v>
      </c>
      <c r="C563" s="37" t="n">
        <v>3</v>
      </c>
      <c r="D563" s="37" t="n">
        <v>0</v>
      </c>
      <c r="E563" s="37" t="n">
        <v>0</v>
      </c>
      <c r="F563" s="37" t="n">
        <v>0</v>
      </c>
      <c r="G563" s="37" t="n">
        <v>0</v>
      </c>
      <c r="H563" s="37" t="n">
        <v>0</v>
      </c>
      <c r="I563" s="37" t="n">
        <v>0</v>
      </c>
      <c r="J563" s="37" t="n">
        <v>0</v>
      </c>
      <c r="K563" s="37" t="n">
        <v>0</v>
      </c>
      <c r="L563" s="37" t="n">
        <v>0</v>
      </c>
      <c r="M563" s="37" t="n">
        <v>0</v>
      </c>
      <c r="N563" s="37" t="n">
        <v>0</v>
      </c>
    </row>
    <row r="566" customFormat="false" ht="27.75" hidden="false" customHeight="true" outlineLevel="0" collapsed="false">
      <c r="B566" s="46" t="s">
        <v>124</v>
      </c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</row>
    <row r="567" customFormat="false" ht="3.75" hidden="false" customHeight="true" outlineLevel="0" collapsed="false"/>
    <row r="568" customFormat="false" ht="25.5" hidden="false" customHeight="true" outlineLevel="0" collapsed="false">
      <c r="B568" s="47" t="s">
        <v>47</v>
      </c>
      <c r="C568" s="47" t="s">
        <v>68</v>
      </c>
      <c r="D568" s="47" t="s">
        <v>69</v>
      </c>
      <c r="E568" s="47" t="s">
        <v>70</v>
      </c>
      <c r="F568" s="47" t="s">
        <v>71</v>
      </c>
      <c r="G568" s="47" t="s">
        <v>72</v>
      </c>
      <c r="H568" s="47" t="s">
        <v>73</v>
      </c>
      <c r="I568" s="47" t="s">
        <v>74</v>
      </c>
      <c r="J568" s="47" t="s">
        <v>75</v>
      </c>
      <c r="K568" s="47" t="s">
        <v>76</v>
      </c>
      <c r="L568" s="47" t="s">
        <v>77</v>
      </c>
      <c r="M568" s="47" t="s">
        <v>78</v>
      </c>
      <c r="N568" s="47" t="s">
        <v>79</v>
      </c>
    </row>
    <row r="569" customFormat="false" ht="18" hidden="false" customHeight="true" outlineLevel="0" collapsed="false">
      <c r="B569" s="36" t="s">
        <v>80</v>
      </c>
      <c r="C569" s="37" t="n">
        <v>19</v>
      </c>
      <c r="D569" s="37" t="n">
        <v>0</v>
      </c>
      <c r="E569" s="37" t="n">
        <v>0</v>
      </c>
      <c r="F569" s="37" t="n">
        <v>0</v>
      </c>
      <c r="G569" s="37" t="n">
        <v>0</v>
      </c>
      <c r="H569" s="37" t="n">
        <v>0</v>
      </c>
      <c r="I569" s="37" t="n">
        <v>0</v>
      </c>
      <c r="J569" s="37" t="n">
        <v>0</v>
      </c>
      <c r="K569" s="37" t="n">
        <v>0</v>
      </c>
      <c r="L569" s="37" t="n">
        <v>0</v>
      </c>
      <c r="M569" s="37" t="n">
        <v>0</v>
      </c>
      <c r="N569" s="37" t="n">
        <v>0</v>
      </c>
    </row>
    <row r="570" customFormat="false" ht="18" hidden="false" customHeight="true" outlineLevel="0" collapsed="false">
      <c r="B570" s="38" t="s">
        <v>81</v>
      </c>
      <c r="C570" s="39" t="n">
        <v>0</v>
      </c>
      <c r="D570" s="39" t="n">
        <v>0</v>
      </c>
      <c r="E570" s="39" t="n">
        <v>0</v>
      </c>
      <c r="F570" s="39" t="n">
        <v>0</v>
      </c>
      <c r="G570" s="39" t="n">
        <v>0</v>
      </c>
      <c r="H570" s="39" t="n">
        <v>0</v>
      </c>
      <c r="I570" s="39" t="n">
        <v>0</v>
      </c>
      <c r="J570" s="39" t="n">
        <v>0</v>
      </c>
      <c r="K570" s="39" t="n">
        <v>0</v>
      </c>
      <c r="L570" s="39" t="n">
        <v>0</v>
      </c>
      <c r="M570" s="39" t="n">
        <v>0</v>
      </c>
      <c r="N570" s="39" t="n">
        <v>0</v>
      </c>
    </row>
    <row r="571" customFormat="false" ht="18" hidden="false" customHeight="true" outlineLevel="0" collapsed="false">
      <c r="B571" s="40" t="s">
        <v>82</v>
      </c>
      <c r="C571" s="41" t="n">
        <v>0</v>
      </c>
      <c r="D571" s="41" t="n">
        <v>0</v>
      </c>
      <c r="E571" s="41" t="n">
        <v>0</v>
      </c>
      <c r="F571" s="41" t="n">
        <v>0</v>
      </c>
      <c r="G571" s="41" t="n">
        <v>0</v>
      </c>
      <c r="H571" s="41" t="n">
        <v>0</v>
      </c>
      <c r="I571" s="41" t="n">
        <v>0</v>
      </c>
      <c r="J571" s="41" t="n">
        <v>0</v>
      </c>
      <c r="K571" s="41" t="n">
        <v>0</v>
      </c>
      <c r="L571" s="41" t="n">
        <v>0</v>
      </c>
      <c r="M571" s="41" t="n">
        <v>0</v>
      </c>
      <c r="N571" s="41" t="n">
        <v>0</v>
      </c>
    </row>
    <row r="572" customFormat="false" ht="18" hidden="false" customHeight="true" outlineLevel="0" collapsed="false">
      <c r="B572" s="38" t="s">
        <v>83</v>
      </c>
      <c r="C572" s="39" t="n">
        <v>0</v>
      </c>
      <c r="D572" s="39" t="n">
        <v>0</v>
      </c>
      <c r="E572" s="39" t="n">
        <v>0</v>
      </c>
      <c r="F572" s="39" t="n">
        <v>0</v>
      </c>
      <c r="G572" s="39" t="n">
        <v>0</v>
      </c>
      <c r="H572" s="39" t="n">
        <v>0</v>
      </c>
      <c r="I572" s="39" t="n">
        <v>0</v>
      </c>
      <c r="J572" s="39" t="n">
        <v>0</v>
      </c>
      <c r="K572" s="39" t="n">
        <v>0</v>
      </c>
      <c r="L572" s="39" t="n">
        <v>0</v>
      </c>
      <c r="M572" s="39" t="n">
        <v>0</v>
      </c>
      <c r="N572" s="39" t="n">
        <v>0</v>
      </c>
    </row>
    <row r="573" customFormat="false" ht="18" hidden="false" customHeight="true" outlineLevel="0" collapsed="false">
      <c r="B573" s="42" t="s">
        <v>84</v>
      </c>
      <c r="C573" s="43" t="n">
        <f aca="false">SUMPRODUCT((MONTH('⚫ Confirmed Attrition'!$G$5:$G$1000)=1)*(YEAR('⚫ Confirmed Attrition'!$G$5:$G$1000)=2026)*('⚫ Confirmed Attrition'!$D$5:$D$1000="Lovely Mae Enot Sacurom"))</f>
        <v>0</v>
      </c>
      <c r="D573" s="43" t="n">
        <f aca="false">SUMPRODUCT((MONTH('⚫ Confirmed Attrition'!$G$5:$G$1000)=2)*(YEAR('⚫ Confirmed Attrition'!$G$5:$G$1000)=2026)*('⚫ Confirmed Attrition'!$D$5:$D$1000="Lovely Mae Enot Sacurom"))</f>
        <v>0</v>
      </c>
      <c r="E573" s="43" t="n">
        <f aca="false">SUMPRODUCT((MONTH('⚫ Confirmed Attrition'!$G$5:$G$1000)=3)*(YEAR('⚫ Confirmed Attrition'!$G$5:$G$1000)=2026)*('⚫ Confirmed Attrition'!$D$5:$D$1000="Lovely Mae Enot Sacurom"))</f>
        <v>0</v>
      </c>
      <c r="F573" s="43" t="n">
        <f aca="false">SUMPRODUCT((MONTH('⚫ Confirmed Attrition'!$G$5:$G$1000)=4)*(YEAR('⚫ Confirmed Attrition'!$G$5:$G$1000)=2026)*('⚫ Confirmed Attrition'!$D$5:$D$1000="Lovely Mae Enot Sacurom"))</f>
        <v>0</v>
      </c>
      <c r="G573" s="43" t="n">
        <f aca="false">SUMPRODUCT((MONTH('⚫ Confirmed Attrition'!$G$5:$G$1000)=5)*(YEAR('⚫ Confirmed Attrition'!$G$5:$G$1000)=2026)*('⚫ Confirmed Attrition'!$D$5:$D$1000="Lovely Mae Enot Sacurom"))</f>
        <v>0</v>
      </c>
      <c r="H573" s="43" t="n">
        <f aca="false">SUMPRODUCT((MONTH('⚫ Confirmed Attrition'!$G$5:$G$1000)=6)*(YEAR('⚫ Confirmed Attrition'!$G$5:$G$1000)=2026)*('⚫ Confirmed Attrition'!$D$5:$D$1000="Lovely Mae Enot Sacurom"))</f>
        <v>0</v>
      </c>
      <c r="I573" s="43" t="n">
        <f aca="false">SUMPRODUCT((MONTH('⚫ Confirmed Attrition'!$G$5:$G$1000)=7)*(YEAR('⚫ Confirmed Attrition'!$G$5:$G$1000)=2026)*('⚫ Confirmed Attrition'!$D$5:$D$1000="Lovely Mae Enot Sacurom"))</f>
        <v>0</v>
      </c>
      <c r="J573" s="43" t="n">
        <f aca="false">SUMPRODUCT((MONTH('⚫ Confirmed Attrition'!$G$5:$G$1000)=8)*(YEAR('⚫ Confirmed Attrition'!$G$5:$G$1000)=2026)*('⚫ Confirmed Attrition'!$D$5:$D$1000="Lovely Mae Enot Sacurom"))</f>
        <v>0</v>
      </c>
      <c r="K573" s="43" t="n">
        <f aca="false">SUMPRODUCT((MONTH('⚫ Confirmed Attrition'!$G$5:$G$1000)=9)*(YEAR('⚫ Confirmed Attrition'!$G$5:$G$1000)=2026)*('⚫ Confirmed Attrition'!$D$5:$D$1000="Lovely Mae Enot Sacurom"))</f>
        <v>0</v>
      </c>
      <c r="L573" s="43" t="n">
        <f aca="false">SUMPRODUCT((MONTH('⚫ Confirmed Attrition'!$G$5:$G$1000)=10)*(YEAR('⚫ Confirmed Attrition'!$G$5:$G$1000)=2026)*('⚫ Confirmed Attrition'!$D$5:$D$1000="Lovely Mae Enot Sacurom"))</f>
        <v>0</v>
      </c>
      <c r="M573" s="43" t="n">
        <f aca="false">SUMPRODUCT((MONTH('⚫ Confirmed Attrition'!$G$5:$G$1000)=11)*(YEAR('⚫ Confirmed Attrition'!$G$5:$G$1000)=2026)*('⚫ Confirmed Attrition'!$D$5:$D$1000="Lovely Mae Enot Sacurom"))</f>
        <v>0</v>
      </c>
      <c r="N573" s="43" t="n">
        <f aca="false">SUMPRODUCT((MONTH('⚫ Confirmed Attrition'!$G$5:$G$1000)=12)*(YEAR('⚫ Confirmed Attrition'!$G$5:$G$1000)=2026)*('⚫ Confirmed Attrition'!$D$5:$D$1000="Lovely Mae Enot Sacurom"))</f>
        <v>0</v>
      </c>
    </row>
    <row r="574" customFormat="false" ht="18" hidden="false" customHeight="true" outlineLevel="0" collapsed="false">
      <c r="B574" s="44" t="s">
        <v>85</v>
      </c>
      <c r="C574" s="45" t="n">
        <v>0</v>
      </c>
      <c r="D574" s="45" t="n">
        <v>0</v>
      </c>
      <c r="E574" s="45" t="n">
        <v>0</v>
      </c>
      <c r="F574" s="45" t="n">
        <v>0</v>
      </c>
      <c r="G574" s="45" t="n">
        <v>0</v>
      </c>
      <c r="H574" s="45" t="n">
        <v>0</v>
      </c>
      <c r="I574" s="45" t="n">
        <v>0</v>
      </c>
      <c r="J574" s="45" t="n">
        <v>0</v>
      </c>
      <c r="K574" s="45" t="n">
        <v>0</v>
      </c>
      <c r="L574" s="45" t="n">
        <v>0</v>
      </c>
      <c r="M574" s="45" t="n">
        <v>0</v>
      </c>
      <c r="N574" s="45" t="n">
        <v>0</v>
      </c>
    </row>
    <row r="575" customFormat="false" ht="18" hidden="false" customHeight="true" outlineLevel="0" collapsed="false">
      <c r="B575" s="44" t="s">
        <v>86</v>
      </c>
      <c r="C575" s="45" t="n">
        <v>0</v>
      </c>
      <c r="D575" s="45" t="n">
        <v>0</v>
      </c>
      <c r="E575" s="45" t="n">
        <v>0</v>
      </c>
      <c r="F575" s="45" t="n">
        <v>0</v>
      </c>
      <c r="G575" s="45" t="n">
        <v>0</v>
      </c>
      <c r="H575" s="45" t="n">
        <v>0</v>
      </c>
      <c r="I575" s="45" t="n">
        <v>0</v>
      </c>
      <c r="J575" s="45" t="n">
        <v>0</v>
      </c>
      <c r="K575" s="45" t="n">
        <v>0</v>
      </c>
      <c r="L575" s="45" t="n">
        <v>0</v>
      </c>
      <c r="M575" s="45" t="n">
        <v>0</v>
      </c>
      <c r="N575" s="45" t="n">
        <v>0</v>
      </c>
    </row>
    <row r="576" customFormat="false" ht="18" hidden="false" customHeight="true" outlineLevel="0" collapsed="false">
      <c r="B576" s="44" t="s">
        <v>87</v>
      </c>
      <c r="C576" s="45" t="n">
        <v>0</v>
      </c>
      <c r="D576" s="45" t="n">
        <v>0</v>
      </c>
      <c r="E576" s="45" t="n">
        <v>0</v>
      </c>
      <c r="F576" s="45" t="n">
        <v>0</v>
      </c>
      <c r="G576" s="45" t="n">
        <v>0</v>
      </c>
      <c r="H576" s="45" t="n">
        <v>0</v>
      </c>
      <c r="I576" s="45" t="n">
        <v>0</v>
      </c>
      <c r="J576" s="45" t="n">
        <v>0</v>
      </c>
      <c r="K576" s="45" t="n">
        <v>0</v>
      </c>
      <c r="L576" s="45" t="n">
        <v>0</v>
      </c>
      <c r="M576" s="45" t="n">
        <v>0</v>
      </c>
      <c r="N576" s="45" t="n">
        <v>0</v>
      </c>
    </row>
    <row r="577" customFormat="false" ht="18" hidden="false" customHeight="true" outlineLevel="0" collapsed="false">
      <c r="B577" s="36" t="s">
        <v>88</v>
      </c>
      <c r="C577" s="37" t="n">
        <v>19</v>
      </c>
      <c r="D577" s="37" t="n">
        <v>0</v>
      </c>
      <c r="E577" s="37" t="n">
        <v>0</v>
      </c>
      <c r="F577" s="37" t="n">
        <v>0</v>
      </c>
      <c r="G577" s="37" t="n">
        <v>0</v>
      </c>
      <c r="H577" s="37" t="n">
        <v>0</v>
      </c>
      <c r="I577" s="37" t="n">
        <v>0</v>
      </c>
      <c r="J577" s="37" t="n">
        <v>0</v>
      </c>
      <c r="K577" s="37" t="n">
        <v>0</v>
      </c>
      <c r="L577" s="37" t="n">
        <v>0</v>
      </c>
      <c r="M577" s="37" t="n">
        <v>0</v>
      </c>
      <c r="N577" s="37" t="n">
        <v>0</v>
      </c>
    </row>
    <row r="580" customFormat="false" ht="27.75" hidden="false" customHeight="true" outlineLevel="0" collapsed="false">
      <c r="B580" s="46" t="s">
        <v>125</v>
      </c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</row>
    <row r="581" customFormat="false" ht="3.75" hidden="false" customHeight="true" outlineLevel="0" collapsed="false"/>
    <row r="582" customFormat="false" ht="25.5" hidden="false" customHeight="true" outlineLevel="0" collapsed="false">
      <c r="B582" s="47" t="s">
        <v>48</v>
      </c>
      <c r="C582" s="47" t="s">
        <v>68</v>
      </c>
      <c r="D582" s="47" t="s">
        <v>69</v>
      </c>
      <c r="E582" s="47" t="s">
        <v>70</v>
      </c>
      <c r="F582" s="47" t="s">
        <v>71</v>
      </c>
      <c r="G582" s="47" t="s">
        <v>72</v>
      </c>
      <c r="H582" s="47" t="s">
        <v>73</v>
      </c>
      <c r="I582" s="47" t="s">
        <v>74</v>
      </c>
      <c r="J582" s="47" t="s">
        <v>75</v>
      </c>
      <c r="K582" s="47" t="s">
        <v>76</v>
      </c>
      <c r="L582" s="47" t="s">
        <v>77</v>
      </c>
      <c r="M582" s="47" t="s">
        <v>78</v>
      </c>
      <c r="N582" s="47" t="s">
        <v>79</v>
      </c>
    </row>
    <row r="583" customFormat="false" ht="18" hidden="false" customHeight="true" outlineLevel="0" collapsed="false">
      <c r="B583" s="36" t="s">
        <v>80</v>
      </c>
      <c r="C583" s="37" t="n">
        <v>4</v>
      </c>
      <c r="D583" s="37" t="n">
        <v>0</v>
      </c>
      <c r="E583" s="37" t="n">
        <v>0</v>
      </c>
      <c r="F583" s="37" t="n">
        <v>0</v>
      </c>
      <c r="G583" s="37" t="n">
        <v>0</v>
      </c>
      <c r="H583" s="37" t="n">
        <v>0</v>
      </c>
      <c r="I583" s="37" t="n">
        <v>0</v>
      </c>
      <c r="J583" s="37" t="n">
        <v>0</v>
      </c>
      <c r="K583" s="37" t="n">
        <v>0</v>
      </c>
      <c r="L583" s="37" t="n">
        <v>0</v>
      </c>
      <c r="M583" s="37" t="n">
        <v>0</v>
      </c>
      <c r="N583" s="37" t="n">
        <v>0</v>
      </c>
    </row>
    <row r="584" customFormat="false" ht="18" hidden="false" customHeight="true" outlineLevel="0" collapsed="false">
      <c r="B584" s="38" t="s">
        <v>81</v>
      </c>
      <c r="C584" s="39" t="n">
        <v>0</v>
      </c>
      <c r="D584" s="39" t="n">
        <v>0</v>
      </c>
      <c r="E584" s="39" t="n">
        <v>0</v>
      </c>
      <c r="F584" s="39" t="n">
        <v>0</v>
      </c>
      <c r="G584" s="39" t="n">
        <v>0</v>
      </c>
      <c r="H584" s="39" t="n">
        <v>0</v>
      </c>
      <c r="I584" s="39" t="n">
        <v>0</v>
      </c>
      <c r="J584" s="39" t="n">
        <v>0</v>
      </c>
      <c r="K584" s="39" t="n">
        <v>0</v>
      </c>
      <c r="L584" s="39" t="n">
        <v>0</v>
      </c>
      <c r="M584" s="39" t="n">
        <v>0</v>
      </c>
      <c r="N584" s="39" t="n">
        <v>0</v>
      </c>
    </row>
    <row r="585" customFormat="false" ht="18" hidden="false" customHeight="true" outlineLevel="0" collapsed="false">
      <c r="B585" s="40" t="s">
        <v>82</v>
      </c>
      <c r="C585" s="41" t="n">
        <v>0</v>
      </c>
      <c r="D585" s="41" t="n">
        <v>0</v>
      </c>
      <c r="E585" s="41" t="n">
        <v>0</v>
      </c>
      <c r="F585" s="41" t="n">
        <v>0</v>
      </c>
      <c r="G585" s="41" t="n">
        <v>0</v>
      </c>
      <c r="H585" s="41" t="n">
        <v>0</v>
      </c>
      <c r="I585" s="41" t="n">
        <v>0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n">
        <v>0</v>
      </c>
    </row>
    <row r="586" customFormat="false" ht="18" hidden="false" customHeight="true" outlineLevel="0" collapsed="false">
      <c r="B586" s="38" t="s">
        <v>83</v>
      </c>
      <c r="C586" s="39" t="n">
        <v>0</v>
      </c>
      <c r="D586" s="39" t="n">
        <v>0</v>
      </c>
      <c r="E586" s="39" t="n">
        <v>0</v>
      </c>
      <c r="F586" s="39" t="n">
        <v>0</v>
      </c>
      <c r="G586" s="39" t="n">
        <v>0</v>
      </c>
      <c r="H586" s="39" t="n">
        <v>0</v>
      </c>
      <c r="I586" s="39" t="n">
        <v>0</v>
      </c>
      <c r="J586" s="39" t="n">
        <v>0</v>
      </c>
      <c r="K586" s="39" t="n">
        <v>0</v>
      </c>
      <c r="L586" s="39" t="n">
        <v>0</v>
      </c>
      <c r="M586" s="39" t="n">
        <v>0</v>
      </c>
      <c r="N586" s="39" t="n">
        <v>0</v>
      </c>
    </row>
    <row r="587" customFormat="false" ht="18" hidden="false" customHeight="true" outlineLevel="0" collapsed="false">
      <c r="B587" s="42" t="s">
        <v>84</v>
      </c>
      <c r="C587" s="43" t="n">
        <f aca="false">SUMPRODUCT((MONTH('⚫ Confirmed Attrition'!$G$5:$G$1000)=1)*(YEAR('⚫ Confirmed Attrition'!$G$5:$G$1000)=2026)*('⚫ Confirmed Attrition'!$D$5:$D$1000="Luis Joel Traverso Rodriguez"))</f>
        <v>0</v>
      </c>
      <c r="D587" s="43" t="n">
        <f aca="false">SUMPRODUCT((MONTH('⚫ Confirmed Attrition'!$G$5:$G$1000)=2)*(YEAR('⚫ Confirmed Attrition'!$G$5:$G$1000)=2026)*('⚫ Confirmed Attrition'!$D$5:$D$1000="Luis Joel Traverso Rodriguez"))</f>
        <v>0</v>
      </c>
      <c r="E587" s="43" t="n">
        <f aca="false">SUMPRODUCT((MONTH('⚫ Confirmed Attrition'!$G$5:$G$1000)=3)*(YEAR('⚫ Confirmed Attrition'!$G$5:$G$1000)=2026)*('⚫ Confirmed Attrition'!$D$5:$D$1000="Luis Joel Traverso Rodriguez"))</f>
        <v>0</v>
      </c>
      <c r="F587" s="43" t="n">
        <f aca="false">SUMPRODUCT((MONTH('⚫ Confirmed Attrition'!$G$5:$G$1000)=4)*(YEAR('⚫ Confirmed Attrition'!$G$5:$G$1000)=2026)*('⚫ Confirmed Attrition'!$D$5:$D$1000="Luis Joel Traverso Rodriguez"))</f>
        <v>0</v>
      </c>
      <c r="G587" s="43" t="n">
        <f aca="false">SUMPRODUCT((MONTH('⚫ Confirmed Attrition'!$G$5:$G$1000)=5)*(YEAR('⚫ Confirmed Attrition'!$G$5:$G$1000)=2026)*('⚫ Confirmed Attrition'!$D$5:$D$1000="Luis Joel Traverso Rodriguez"))</f>
        <v>0</v>
      </c>
      <c r="H587" s="43" t="n">
        <f aca="false">SUMPRODUCT((MONTH('⚫ Confirmed Attrition'!$G$5:$G$1000)=6)*(YEAR('⚫ Confirmed Attrition'!$G$5:$G$1000)=2026)*('⚫ Confirmed Attrition'!$D$5:$D$1000="Luis Joel Traverso Rodriguez"))</f>
        <v>0</v>
      </c>
      <c r="I587" s="43" t="n">
        <f aca="false">SUMPRODUCT((MONTH('⚫ Confirmed Attrition'!$G$5:$G$1000)=7)*(YEAR('⚫ Confirmed Attrition'!$G$5:$G$1000)=2026)*('⚫ Confirmed Attrition'!$D$5:$D$1000="Luis Joel Traverso Rodriguez"))</f>
        <v>0</v>
      </c>
      <c r="J587" s="43" t="n">
        <f aca="false">SUMPRODUCT((MONTH('⚫ Confirmed Attrition'!$G$5:$G$1000)=8)*(YEAR('⚫ Confirmed Attrition'!$G$5:$G$1000)=2026)*('⚫ Confirmed Attrition'!$D$5:$D$1000="Luis Joel Traverso Rodriguez"))</f>
        <v>0</v>
      </c>
      <c r="K587" s="43" t="n">
        <f aca="false">SUMPRODUCT((MONTH('⚫ Confirmed Attrition'!$G$5:$G$1000)=9)*(YEAR('⚫ Confirmed Attrition'!$G$5:$G$1000)=2026)*('⚫ Confirmed Attrition'!$D$5:$D$1000="Luis Joel Traverso Rodriguez"))</f>
        <v>0</v>
      </c>
      <c r="L587" s="43" t="n">
        <f aca="false">SUMPRODUCT((MONTH('⚫ Confirmed Attrition'!$G$5:$G$1000)=10)*(YEAR('⚫ Confirmed Attrition'!$G$5:$G$1000)=2026)*('⚫ Confirmed Attrition'!$D$5:$D$1000="Luis Joel Traverso Rodriguez"))</f>
        <v>0</v>
      </c>
      <c r="M587" s="43" t="n">
        <f aca="false">SUMPRODUCT((MONTH('⚫ Confirmed Attrition'!$G$5:$G$1000)=11)*(YEAR('⚫ Confirmed Attrition'!$G$5:$G$1000)=2026)*('⚫ Confirmed Attrition'!$D$5:$D$1000="Luis Joel Traverso Rodriguez"))</f>
        <v>0</v>
      </c>
      <c r="N587" s="43" t="n">
        <f aca="false">SUMPRODUCT((MONTH('⚫ Confirmed Attrition'!$G$5:$G$1000)=12)*(YEAR('⚫ Confirmed Attrition'!$G$5:$G$1000)=2026)*('⚫ Confirmed Attrition'!$D$5:$D$1000="Luis Joel Traverso Rodriguez"))</f>
        <v>0</v>
      </c>
    </row>
    <row r="588" customFormat="false" ht="18" hidden="false" customHeight="true" outlineLevel="0" collapsed="false">
      <c r="B588" s="44" t="s">
        <v>85</v>
      </c>
      <c r="C588" s="45" t="n">
        <v>0</v>
      </c>
      <c r="D588" s="45" t="n">
        <v>0</v>
      </c>
      <c r="E588" s="45" t="n">
        <v>0</v>
      </c>
      <c r="F588" s="45" t="n">
        <v>0</v>
      </c>
      <c r="G588" s="45" t="n">
        <v>0</v>
      </c>
      <c r="H588" s="45" t="n">
        <v>0</v>
      </c>
      <c r="I588" s="45" t="n">
        <v>0</v>
      </c>
      <c r="J588" s="45" t="n">
        <v>0</v>
      </c>
      <c r="K588" s="45" t="n">
        <v>0</v>
      </c>
      <c r="L588" s="45" t="n">
        <v>0</v>
      </c>
      <c r="M588" s="45" t="n">
        <v>0</v>
      </c>
      <c r="N588" s="45" t="n">
        <v>0</v>
      </c>
    </row>
    <row r="589" customFormat="false" ht="18" hidden="false" customHeight="true" outlineLevel="0" collapsed="false">
      <c r="B589" s="44" t="s">
        <v>86</v>
      </c>
      <c r="C589" s="45" t="n">
        <v>0</v>
      </c>
      <c r="D589" s="45" t="n">
        <v>0</v>
      </c>
      <c r="E589" s="45" t="n">
        <v>0</v>
      </c>
      <c r="F589" s="45" t="n">
        <v>0</v>
      </c>
      <c r="G589" s="45" t="n">
        <v>0</v>
      </c>
      <c r="H589" s="45" t="n">
        <v>0</v>
      </c>
      <c r="I589" s="45" t="n">
        <v>0</v>
      </c>
      <c r="J589" s="45" t="n">
        <v>0</v>
      </c>
      <c r="K589" s="45" t="n">
        <v>0</v>
      </c>
      <c r="L589" s="45" t="n">
        <v>0</v>
      </c>
      <c r="M589" s="45" t="n">
        <v>0</v>
      </c>
      <c r="N589" s="45" t="n">
        <v>0</v>
      </c>
    </row>
    <row r="590" customFormat="false" ht="18" hidden="false" customHeight="true" outlineLevel="0" collapsed="false">
      <c r="B590" s="44" t="s">
        <v>87</v>
      </c>
      <c r="C590" s="45" t="n">
        <v>0</v>
      </c>
      <c r="D590" s="45" t="n">
        <v>0</v>
      </c>
      <c r="E590" s="45" t="n">
        <v>0</v>
      </c>
      <c r="F590" s="45" t="n">
        <v>0</v>
      </c>
      <c r="G590" s="45" t="n">
        <v>0</v>
      </c>
      <c r="H590" s="45" t="n">
        <v>0</v>
      </c>
      <c r="I590" s="45" t="n">
        <v>0</v>
      </c>
      <c r="J590" s="45" t="n">
        <v>0</v>
      </c>
      <c r="K590" s="45" t="n">
        <v>0</v>
      </c>
      <c r="L590" s="45" t="n">
        <v>0</v>
      </c>
      <c r="M590" s="45" t="n">
        <v>0</v>
      </c>
      <c r="N590" s="45" t="n">
        <v>0</v>
      </c>
    </row>
    <row r="591" customFormat="false" ht="18" hidden="false" customHeight="true" outlineLevel="0" collapsed="false">
      <c r="B591" s="36" t="s">
        <v>88</v>
      </c>
      <c r="C591" s="37" t="n">
        <v>4</v>
      </c>
      <c r="D591" s="37" t="n">
        <v>0</v>
      </c>
      <c r="E591" s="37" t="n">
        <v>0</v>
      </c>
      <c r="F591" s="37" t="n">
        <v>0</v>
      </c>
      <c r="G591" s="37" t="n">
        <v>0</v>
      </c>
      <c r="H591" s="37" t="n">
        <v>0</v>
      </c>
      <c r="I591" s="37" t="n">
        <v>0</v>
      </c>
      <c r="J591" s="37" t="n">
        <v>0</v>
      </c>
      <c r="K591" s="37" t="n">
        <v>0</v>
      </c>
      <c r="L591" s="37" t="n">
        <v>0</v>
      </c>
      <c r="M591" s="37" t="n">
        <v>0</v>
      </c>
      <c r="N591" s="37" t="n">
        <v>0</v>
      </c>
    </row>
    <row r="594" customFormat="false" ht="27.75" hidden="false" customHeight="true" outlineLevel="0" collapsed="false">
      <c r="B594" s="46" t="s">
        <v>126</v>
      </c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</row>
    <row r="595" customFormat="false" ht="3.75" hidden="false" customHeight="true" outlineLevel="0" collapsed="false"/>
    <row r="596" customFormat="false" ht="25.5" hidden="false" customHeight="true" outlineLevel="0" collapsed="false">
      <c r="B596" s="47" t="s">
        <v>49</v>
      </c>
      <c r="C596" s="47" t="s">
        <v>68</v>
      </c>
      <c r="D596" s="47" t="s">
        <v>69</v>
      </c>
      <c r="E596" s="47" t="s">
        <v>70</v>
      </c>
      <c r="F596" s="47" t="s">
        <v>71</v>
      </c>
      <c r="G596" s="47" t="s">
        <v>72</v>
      </c>
      <c r="H596" s="47" t="s">
        <v>73</v>
      </c>
      <c r="I596" s="47" t="s">
        <v>74</v>
      </c>
      <c r="J596" s="47" t="s">
        <v>75</v>
      </c>
      <c r="K596" s="47" t="s">
        <v>76</v>
      </c>
      <c r="L596" s="47" t="s">
        <v>77</v>
      </c>
      <c r="M596" s="47" t="s">
        <v>78</v>
      </c>
      <c r="N596" s="47" t="s">
        <v>79</v>
      </c>
    </row>
    <row r="597" customFormat="false" ht="18" hidden="false" customHeight="true" outlineLevel="0" collapsed="false">
      <c r="B597" s="36" t="s">
        <v>80</v>
      </c>
      <c r="C597" s="37" t="n">
        <v>4</v>
      </c>
      <c r="D597" s="37" t="n">
        <v>0</v>
      </c>
      <c r="E597" s="37" t="n">
        <v>0</v>
      </c>
      <c r="F597" s="37" t="n">
        <v>0</v>
      </c>
      <c r="G597" s="37" t="n">
        <v>0</v>
      </c>
      <c r="H597" s="37" t="n">
        <v>0</v>
      </c>
      <c r="I597" s="37" t="n">
        <v>0</v>
      </c>
      <c r="J597" s="37" t="n">
        <v>0</v>
      </c>
      <c r="K597" s="37" t="n">
        <v>0</v>
      </c>
      <c r="L597" s="37" t="n">
        <v>0</v>
      </c>
      <c r="M597" s="37" t="n">
        <v>0</v>
      </c>
      <c r="N597" s="37" t="n">
        <v>0</v>
      </c>
    </row>
    <row r="598" customFormat="false" ht="18" hidden="false" customHeight="true" outlineLevel="0" collapsed="false">
      <c r="B598" s="38" t="s">
        <v>81</v>
      </c>
      <c r="C598" s="39" t="n">
        <v>0</v>
      </c>
      <c r="D598" s="39" t="n">
        <v>0</v>
      </c>
      <c r="E598" s="39" t="n">
        <v>0</v>
      </c>
      <c r="F598" s="39" t="n">
        <v>0</v>
      </c>
      <c r="G598" s="39" t="n">
        <v>0</v>
      </c>
      <c r="H598" s="39" t="n">
        <v>0</v>
      </c>
      <c r="I598" s="39" t="n">
        <v>0</v>
      </c>
      <c r="J598" s="39" t="n">
        <v>0</v>
      </c>
      <c r="K598" s="39" t="n">
        <v>0</v>
      </c>
      <c r="L598" s="39" t="n">
        <v>0</v>
      </c>
      <c r="M598" s="39" t="n">
        <v>0</v>
      </c>
      <c r="N598" s="39" t="n">
        <v>0</v>
      </c>
    </row>
    <row r="599" customFormat="false" ht="18" hidden="false" customHeight="true" outlineLevel="0" collapsed="false">
      <c r="B599" s="40" t="s">
        <v>82</v>
      </c>
      <c r="C599" s="41" t="n">
        <v>0</v>
      </c>
      <c r="D599" s="41" t="n">
        <v>0</v>
      </c>
      <c r="E599" s="41" t="n">
        <v>0</v>
      </c>
      <c r="F599" s="41" t="n">
        <v>0</v>
      </c>
      <c r="G599" s="41" t="n">
        <v>0</v>
      </c>
      <c r="H599" s="41" t="n">
        <v>0</v>
      </c>
      <c r="I599" s="41" t="n">
        <v>0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n">
        <v>0</v>
      </c>
    </row>
    <row r="600" customFormat="false" ht="18" hidden="false" customHeight="true" outlineLevel="0" collapsed="false">
      <c r="B600" s="38" t="s">
        <v>83</v>
      </c>
      <c r="C600" s="39" t="n">
        <v>0</v>
      </c>
      <c r="D600" s="39" t="n">
        <v>0</v>
      </c>
      <c r="E600" s="39" t="n">
        <v>0</v>
      </c>
      <c r="F600" s="39" t="n">
        <v>0</v>
      </c>
      <c r="G600" s="39" t="n">
        <v>0</v>
      </c>
      <c r="H600" s="39" t="n">
        <v>0</v>
      </c>
      <c r="I600" s="39" t="n">
        <v>0</v>
      </c>
      <c r="J600" s="39" t="n">
        <v>0</v>
      </c>
      <c r="K600" s="39" t="n">
        <v>0</v>
      </c>
      <c r="L600" s="39" t="n">
        <v>0</v>
      </c>
      <c r="M600" s="39" t="n">
        <v>0</v>
      </c>
      <c r="N600" s="39" t="n">
        <v>0</v>
      </c>
    </row>
    <row r="601" customFormat="false" ht="18" hidden="false" customHeight="true" outlineLevel="0" collapsed="false">
      <c r="B601" s="42" t="s">
        <v>84</v>
      </c>
      <c r="C601" s="43" t="n">
        <f aca="false">SUMPRODUCT((MONTH('⚫ Confirmed Attrition'!$G$5:$G$1000)=1)*(YEAR('⚫ Confirmed Attrition'!$G$5:$G$1000)=2026)*('⚫ Confirmed Attrition'!$D$5:$D$1000="Ma Alleah De Torres Santos"))</f>
        <v>0</v>
      </c>
      <c r="D601" s="43" t="n">
        <f aca="false">SUMPRODUCT((MONTH('⚫ Confirmed Attrition'!$G$5:$G$1000)=2)*(YEAR('⚫ Confirmed Attrition'!$G$5:$G$1000)=2026)*('⚫ Confirmed Attrition'!$D$5:$D$1000="Ma Alleah De Torres Santos"))</f>
        <v>0</v>
      </c>
      <c r="E601" s="43" t="n">
        <f aca="false">SUMPRODUCT((MONTH('⚫ Confirmed Attrition'!$G$5:$G$1000)=3)*(YEAR('⚫ Confirmed Attrition'!$G$5:$G$1000)=2026)*('⚫ Confirmed Attrition'!$D$5:$D$1000="Ma Alleah De Torres Santos"))</f>
        <v>0</v>
      </c>
      <c r="F601" s="43" t="n">
        <f aca="false">SUMPRODUCT((MONTH('⚫ Confirmed Attrition'!$G$5:$G$1000)=4)*(YEAR('⚫ Confirmed Attrition'!$G$5:$G$1000)=2026)*('⚫ Confirmed Attrition'!$D$5:$D$1000="Ma Alleah De Torres Santos"))</f>
        <v>0</v>
      </c>
      <c r="G601" s="43" t="n">
        <f aca="false">SUMPRODUCT((MONTH('⚫ Confirmed Attrition'!$G$5:$G$1000)=5)*(YEAR('⚫ Confirmed Attrition'!$G$5:$G$1000)=2026)*('⚫ Confirmed Attrition'!$D$5:$D$1000="Ma Alleah De Torres Santos"))</f>
        <v>0</v>
      </c>
      <c r="H601" s="43" t="n">
        <f aca="false">SUMPRODUCT((MONTH('⚫ Confirmed Attrition'!$G$5:$G$1000)=6)*(YEAR('⚫ Confirmed Attrition'!$G$5:$G$1000)=2026)*('⚫ Confirmed Attrition'!$D$5:$D$1000="Ma Alleah De Torres Santos"))</f>
        <v>0</v>
      </c>
      <c r="I601" s="43" t="n">
        <f aca="false">SUMPRODUCT((MONTH('⚫ Confirmed Attrition'!$G$5:$G$1000)=7)*(YEAR('⚫ Confirmed Attrition'!$G$5:$G$1000)=2026)*('⚫ Confirmed Attrition'!$D$5:$D$1000="Ma Alleah De Torres Santos"))</f>
        <v>0</v>
      </c>
      <c r="J601" s="43" t="n">
        <f aca="false">SUMPRODUCT((MONTH('⚫ Confirmed Attrition'!$G$5:$G$1000)=8)*(YEAR('⚫ Confirmed Attrition'!$G$5:$G$1000)=2026)*('⚫ Confirmed Attrition'!$D$5:$D$1000="Ma Alleah De Torres Santos"))</f>
        <v>0</v>
      </c>
      <c r="K601" s="43" t="n">
        <f aca="false">SUMPRODUCT((MONTH('⚫ Confirmed Attrition'!$G$5:$G$1000)=9)*(YEAR('⚫ Confirmed Attrition'!$G$5:$G$1000)=2026)*('⚫ Confirmed Attrition'!$D$5:$D$1000="Ma Alleah De Torres Santos"))</f>
        <v>0</v>
      </c>
      <c r="L601" s="43" t="n">
        <f aca="false">SUMPRODUCT((MONTH('⚫ Confirmed Attrition'!$G$5:$G$1000)=10)*(YEAR('⚫ Confirmed Attrition'!$G$5:$G$1000)=2026)*('⚫ Confirmed Attrition'!$D$5:$D$1000="Ma Alleah De Torres Santos"))</f>
        <v>0</v>
      </c>
      <c r="M601" s="43" t="n">
        <f aca="false">SUMPRODUCT((MONTH('⚫ Confirmed Attrition'!$G$5:$G$1000)=11)*(YEAR('⚫ Confirmed Attrition'!$G$5:$G$1000)=2026)*('⚫ Confirmed Attrition'!$D$5:$D$1000="Ma Alleah De Torres Santos"))</f>
        <v>0</v>
      </c>
      <c r="N601" s="43" t="n">
        <f aca="false">SUMPRODUCT((MONTH('⚫ Confirmed Attrition'!$G$5:$G$1000)=12)*(YEAR('⚫ Confirmed Attrition'!$G$5:$G$1000)=2026)*('⚫ Confirmed Attrition'!$D$5:$D$1000="Ma Alleah De Torres Santos"))</f>
        <v>0</v>
      </c>
    </row>
    <row r="602" customFormat="false" ht="18" hidden="false" customHeight="true" outlineLevel="0" collapsed="false">
      <c r="B602" s="44" t="s">
        <v>85</v>
      </c>
      <c r="C602" s="45" t="n">
        <v>0</v>
      </c>
      <c r="D602" s="45" t="n">
        <v>0</v>
      </c>
      <c r="E602" s="45" t="n">
        <v>0</v>
      </c>
      <c r="F602" s="45" t="n">
        <v>0</v>
      </c>
      <c r="G602" s="45" t="n">
        <v>0</v>
      </c>
      <c r="H602" s="45" t="n">
        <v>0</v>
      </c>
      <c r="I602" s="45" t="n">
        <v>0</v>
      </c>
      <c r="J602" s="45" t="n">
        <v>0</v>
      </c>
      <c r="K602" s="45" t="n">
        <v>0</v>
      </c>
      <c r="L602" s="45" t="n">
        <v>0</v>
      </c>
      <c r="M602" s="45" t="n">
        <v>0</v>
      </c>
      <c r="N602" s="45" t="n">
        <v>0</v>
      </c>
    </row>
    <row r="603" customFormat="false" ht="18" hidden="false" customHeight="true" outlineLevel="0" collapsed="false">
      <c r="B603" s="44" t="s">
        <v>86</v>
      </c>
      <c r="C603" s="45" t="n">
        <v>0</v>
      </c>
      <c r="D603" s="45" t="n">
        <v>0</v>
      </c>
      <c r="E603" s="45" t="n">
        <v>0</v>
      </c>
      <c r="F603" s="45" t="n">
        <v>0</v>
      </c>
      <c r="G603" s="45" t="n">
        <v>0</v>
      </c>
      <c r="H603" s="45" t="n">
        <v>0</v>
      </c>
      <c r="I603" s="45" t="n">
        <v>0</v>
      </c>
      <c r="J603" s="45" t="n">
        <v>0</v>
      </c>
      <c r="K603" s="45" t="n">
        <v>0</v>
      </c>
      <c r="L603" s="45" t="n">
        <v>0</v>
      </c>
      <c r="M603" s="45" t="n">
        <v>0</v>
      </c>
      <c r="N603" s="45" t="n">
        <v>0</v>
      </c>
    </row>
    <row r="604" customFormat="false" ht="18" hidden="false" customHeight="true" outlineLevel="0" collapsed="false">
      <c r="B604" s="44" t="s">
        <v>87</v>
      </c>
      <c r="C604" s="45" t="n">
        <v>0</v>
      </c>
      <c r="D604" s="45" t="n">
        <v>0</v>
      </c>
      <c r="E604" s="45" t="n">
        <v>0</v>
      </c>
      <c r="F604" s="45" t="n">
        <v>0</v>
      </c>
      <c r="G604" s="45" t="n">
        <v>0</v>
      </c>
      <c r="H604" s="45" t="n">
        <v>0</v>
      </c>
      <c r="I604" s="45" t="n">
        <v>0</v>
      </c>
      <c r="J604" s="45" t="n">
        <v>0</v>
      </c>
      <c r="K604" s="45" t="n">
        <v>0</v>
      </c>
      <c r="L604" s="45" t="n">
        <v>0</v>
      </c>
      <c r="M604" s="45" t="n">
        <v>0</v>
      </c>
      <c r="N604" s="45" t="n">
        <v>0</v>
      </c>
    </row>
    <row r="605" customFormat="false" ht="18" hidden="false" customHeight="true" outlineLevel="0" collapsed="false">
      <c r="B605" s="36" t="s">
        <v>88</v>
      </c>
      <c r="C605" s="37" t="n">
        <v>4</v>
      </c>
      <c r="D605" s="37" t="n">
        <v>0</v>
      </c>
      <c r="E605" s="37" t="n">
        <v>0</v>
      </c>
      <c r="F605" s="37" t="n">
        <v>0</v>
      </c>
      <c r="G605" s="37" t="n">
        <v>0</v>
      </c>
      <c r="H605" s="37" t="n">
        <v>0</v>
      </c>
      <c r="I605" s="37" t="n">
        <v>0</v>
      </c>
      <c r="J605" s="37" t="n">
        <v>0</v>
      </c>
      <c r="K605" s="37" t="n">
        <v>0</v>
      </c>
      <c r="L605" s="37" t="n">
        <v>0</v>
      </c>
      <c r="M605" s="37" t="n">
        <v>0</v>
      </c>
      <c r="N605" s="37" t="n">
        <v>0</v>
      </c>
    </row>
    <row r="608" customFormat="false" ht="27.75" hidden="false" customHeight="true" outlineLevel="0" collapsed="false">
      <c r="B608" s="46" t="s">
        <v>127</v>
      </c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</row>
    <row r="609" customFormat="false" ht="3.75" hidden="false" customHeight="true" outlineLevel="0" collapsed="false"/>
    <row r="610" customFormat="false" ht="25.5" hidden="false" customHeight="true" outlineLevel="0" collapsed="false">
      <c r="B610" s="47" t="s">
        <v>50</v>
      </c>
      <c r="C610" s="47" t="s">
        <v>68</v>
      </c>
      <c r="D610" s="47" t="s">
        <v>69</v>
      </c>
      <c r="E610" s="47" t="s">
        <v>70</v>
      </c>
      <c r="F610" s="47" t="s">
        <v>71</v>
      </c>
      <c r="G610" s="47" t="s">
        <v>72</v>
      </c>
      <c r="H610" s="47" t="s">
        <v>73</v>
      </c>
      <c r="I610" s="47" t="s">
        <v>74</v>
      </c>
      <c r="J610" s="47" t="s">
        <v>75</v>
      </c>
      <c r="K610" s="47" t="s">
        <v>76</v>
      </c>
      <c r="L610" s="47" t="s">
        <v>77</v>
      </c>
      <c r="M610" s="47" t="s">
        <v>78</v>
      </c>
      <c r="N610" s="47" t="s">
        <v>79</v>
      </c>
    </row>
    <row r="611" customFormat="false" ht="18" hidden="false" customHeight="true" outlineLevel="0" collapsed="false">
      <c r="B611" s="36" t="s">
        <v>80</v>
      </c>
      <c r="C611" s="37" t="n">
        <v>3</v>
      </c>
      <c r="D611" s="37" t="n">
        <v>0</v>
      </c>
      <c r="E611" s="37" t="n">
        <v>0</v>
      </c>
      <c r="F611" s="37" t="n">
        <v>0</v>
      </c>
      <c r="G611" s="37" t="n">
        <v>0</v>
      </c>
      <c r="H611" s="37" t="n">
        <v>0</v>
      </c>
      <c r="I611" s="37" t="n">
        <v>0</v>
      </c>
      <c r="J611" s="37" t="n">
        <v>0</v>
      </c>
      <c r="K611" s="37" t="n">
        <v>0</v>
      </c>
      <c r="L611" s="37" t="n">
        <v>0</v>
      </c>
      <c r="M611" s="37" t="n">
        <v>0</v>
      </c>
      <c r="N611" s="37" t="n">
        <v>0</v>
      </c>
    </row>
    <row r="612" customFormat="false" ht="18" hidden="false" customHeight="true" outlineLevel="0" collapsed="false">
      <c r="B612" s="38" t="s">
        <v>81</v>
      </c>
      <c r="C612" s="39" t="n">
        <v>0</v>
      </c>
      <c r="D612" s="39" t="n">
        <v>0</v>
      </c>
      <c r="E612" s="39" t="n">
        <v>0</v>
      </c>
      <c r="F612" s="39" t="n">
        <v>0</v>
      </c>
      <c r="G612" s="39" t="n">
        <v>0</v>
      </c>
      <c r="H612" s="39" t="n">
        <v>0</v>
      </c>
      <c r="I612" s="39" t="n">
        <v>0</v>
      </c>
      <c r="J612" s="39" t="n">
        <v>0</v>
      </c>
      <c r="K612" s="39" t="n">
        <v>0</v>
      </c>
      <c r="L612" s="39" t="n">
        <v>0</v>
      </c>
      <c r="M612" s="39" t="n">
        <v>0</v>
      </c>
      <c r="N612" s="39" t="n">
        <v>0</v>
      </c>
    </row>
    <row r="613" customFormat="false" ht="18" hidden="false" customHeight="true" outlineLevel="0" collapsed="false">
      <c r="B613" s="40" t="s">
        <v>82</v>
      </c>
      <c r="C613" s="41" t="n">
        <v>0</v>
      </c>
      <c r="D613" s="41" t="n">
        <v>0</v>
      </c>
      <c r="E613" s="41" t="n">
        <v>0</v>
      </c>
      <c r="F613" s="41" t="n">
        <v>0</v>
      </c>
      <c r="G613" s="41" t="n">
        <v>0</v>
      </c>
      <c r="H613" s="41" t="n">
        <v>0</v>
      </c>
      <c r="I613" s="41" t="n">
        <v>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n">
        <v>0</v>
      </c>
    </row>
    <row r="614" customFormat="false" ht="18" hidden="false" customHeight="true" outlineLevel="0" collapsed="false">
      <c r="B614" s="38" t="s">
        <v>83</v>
      </c>
      <c r="C614" s="39" t="n">
        <v>0</v>
      </c>
      <c r="D614" s="39" t="n">
        <v>0</v>
      </c>
      <c r="E614" s="39" t="n">
        <v>0</v>
      </c>
      <c r="F614" s="39" t="n">
        <v>0</v>
      </c>
      <c r="G614" s="39" t="n">
        <v>0</v>
      </c>
      <c r="H614" s="39" t="n">
        <v>0</v>
      </c>
      <c r="I614" s="39" t="n">
        <v>0</v>
      </c>
      <c r="J614" s="39" t="n">
        <v>0</v>
      </c>
      <c r="K614" s="39" t="n">
        <v>0</v>
      </c>
      <c r="L614" s="39" t="n">
        <v>0</v>
      </c>
      <c r="M614" s="39" t="n">
        <v>0</v>
      </c>
      <c r="N614" s="39" t="n">
        <v>0</v>
      </c>
    </row>
    <row r="615" customFormat="false" ht="18" hidden="false" customHeight="true" outlineLevel="0" collapsed="false">
      <c r="B615" s="42" t="s">
        <v>84</v>
      </c>
      <c r="C615" s="43" t="n">
        <f aca="false">SUMPRODUCT((MONTH('⚫ Confirmed Attrition'!$G$5:$G$1000)=1)*(YEAR('⚫ Confirmed Attrition'!$G$5:$G$1000)=2026)*('⚫ Confirmed Attrition'!$D$5:$D$1000="Maria Theresa Oliva Valenciano Ramos"))</f>
        <v>0</v>
      </c>
      <c r="D615" s="43" t="n">
        <f aca="false">SUMPRODUCT((MONTH('⚫ Confirmed Attrition'!$G$5:$G$1000)=2)*(YEAR('⚫ Confirmed Attrition'!$G$5:$G$1000)=2026)*('⚫ Confirmed Attrition'!$D$5:$D$1000="Maria Theresa Oliva Valenciano Ramos"))</f>
        <v>0</v>
      </c>
      <c r="E615" s="43" t="n">
        <f aca="false">SUMPRODUCT((MONTH('⚫ Confirmed Attrition'!$G$5:$G$1000)=3)*(YEAR('⚫ Confirmed Attrition'!$G$5:$G$1000)=2026)*('⚫ Confirmed Attrition'!$D$5:$D$1000="Maria Theresa Oliva Valenciano Ramos"))</f>
        <v>0</v>
      </c>
      <c r="F615" s="43" t="n">
        <f aca="false">SUMPRODUCT((MONTH('⚫ Confirmed Attrition'!$G$5:$G$1000)=4)*(YEAR('⚫ Confirmed Attrition'!$G$5:$G$1000)=2026)*('⚫ Confirmed Attrition'!$D$5:$D$1000="Maria Theresa Oliva Valenciano Ramos"))</f>
        <v>0</v>
      </c>
      <c r="G615" s="43" t="n">
        <f aca="false">SUMPRODUCT((MONTH('⚫ Confirmed Attrition'!$G$5:$G$1000)=5)*(YEAR('⚫ Confirmed Attrition'!$G$5:$G$1000)=2026)*('⚫ Confirmed Attrition'!$D$5:$D$1000="Maria Theresa Oliva Valenciano Ramos"))</f>
        <v>0</v>
      </c>
      <c r="H615" s="43" t="n">
        <f aca="false">SUMPRODUCT((MONTH('⚫ Confirmed Attrition'!$G$5:$G$1000)=6)*(YEAR('⚫ Confirmed Attrition'!$G$5:$G$1000)=2026)*('⚫ Confirmed Attrition'!$D$5:$D$1000="Maria Theresa Oliva Valenciano Ramos"))</f>
        <v>0</v>
      </c>
      <c r="I615" s="43" t="n">
        <f aca="false">SUMPRODUCT((MONTH('⚫ Confirmed Attrition'!$G$5:$G$1000)=7)*(YEAR('⚫ Confirmed Attrition'!$G$5:$G$1000)=2026)*('⚫ Confirmed Attrition'!$D$5:$D$1000="Maria Theresa Oliva Valenciano Ramos"))</f>
        <v>0</v>
      </c>
      <c r="J615" s="43" t="n">
        <f aca="false">SUMPRODUCT((MONTH('⚫ Confirmed Attrition'!$G$5:$G$1000)=8)*(YEAR('⚫ Confirmed Attrition'!$G$5:$G$1000)=2026)*('⚫ Confirmed Attrition'!$D$5:$D$1000="Maria Theresa Oliva Valenciano Ramos"))</f>
        <v>0</v>
      </c>
      <c r="K615" s="43" t="n">
        <f aca="false">SUMPRODUCT((MONTH('⚫ Confirmed Attrition'!$G$5:$G$1000)=9)*(YEAR('⚫ Confirmed Attrition'!$G$5:$G$1000)=2026)*('⚫ Confirmed Attrition'!$D$5:$D$1000="Maria Theresa Oliva Valenciano Ramos"))</f>
        <v>0</v>
      </c>
      <c r="L615" s="43" t="n">
        <f aca="false">SUMPRODUCT((MONTH('⚫ Confirmed Attrition'!$G$5:$G$1000)=10)*(YEAR('⚫ Confirmed Attrition'!$G$5:$G$1000)=2026)*('⚫ Confirmed Attrition'!$D$5:$D$1000="Maria Theresa Oliva Valenciano Ramos"))</f>
        <v>0</v>
      </c>
      <c r="M615" s="43" t="n">
        <f aca="false">SUMPRODUCT((MONTH('⚫ Confirmed Attrition'!$G$5:$G$1000)=11)*(YEAR('⚫ Confirmed Attrition'!$G$5:$G$1000)=2026)*('⚫ Confirmed Attrition'!$D$5:$D$1000="Maria Theresa Oliva Valenciano Ramos"))</f>
        <v>0</v>
      </c>
      <c r="N615" s="43" t="n">
        <f aca="false">SUMPRODUCT((MONTH('⚫ Confirmed Attrition'!$G$5:$G$1000)=12)*(YEAR('⚫ Confirmed Attrition'!$G$5:$G$1000)=2026)*('⚫ Confirmed Attrition'!$D$5:$D$1000="Maria Theresa Oliva Valenciano Ramos"))</f>
        <v>0</v>
      </c>
    </row>
    <row r="616" customFormat="false" ht="18" hidden="false" customHeight="true" outlineLevel="0" collapsed="false">
      <c r="B616" s="44" t="s">
        <v>85</v>
      </c>
      <c r="C616" s="45" t="n">
        <v>0</v>
      </c>
      <c r="D616" s="45" t="n">
        <v>0</v>
      </c>
      <c r="E616" s="45" t="n">
        <v>0</v>
      </c>
      <c r="F616" s="45" t="n">
        <v>0</v>
      </c>
      <c r="G616" s="45" t="n">
        <v>0</v>
      </c>
      <c r="H616" s="45" t="n">
        <v>0</v>
      </c>
      <c r="I616" s="45" t="n">
        <v>0</v>
      </c>
      <c r="J616" s="45" t="n">
        <v>0</v>
      </c>
      <c r="K616" s="45" t="n">
        <v>0</v>
      </c>
      <c r="L616" s="45" t="n">
        <v>0</v>
      </c>
      <c r="M616" s="45" t="n">
        <v>0</v>
      </c>
      <c r="N616" s="45" t="n">
        <v>0</v>
      </c>
    </row>
    <row r="617" customFormat="false" ht="18" hidden="false" customHeight="true" outlineLevel="0" collapsed="false">
      <c r="B617" s="44" t="s">
        <v>86</v>
      </c>
      <c r="C617" s="45" t="n">
        <v>0</v>
      </c>
      <c r="D617" s="45" t="n">
        <v>0</v>
      </c>
      <c r="E617" s="45" t="n">
        <v>0</v>
      </c>
      <c r="F617" s="45" t="n">
        <v>0</v>
      </c>
      <c r="G617" s="45" t="n">
        <v>0</v>
      </c>
      <c r="H617" s="45" t="n">
        <v>0</v>
      </c>
      <c r="I617" s="45" t="n">
        <v>0</v>
      </c>
      <c r="J617" s="45" t="n">
        <v>0</v>
      </c>
      <c r="K617" s="45" t="n">
        <v>0</v>
      </c>
      <c r="L617" s="45" t="n">
        <v>0</v>
      </c>
      <c r="M617" s="45" t="n">
        <v>0</v>
      </c>
      <c r="N617" s="45" t="n">
        <v>0</v>
      </c>
    </row>
    <row r="618" customFormat="false" ht="18" hidden="false" customHeight="true" outlineLevel="0" collapsed="false">
      <c r="B618" s="44" t="s">
        <v>87</v>
      </c>
      <c r="C618" s="45" t="n">
        <v>0</v>
      </c>
      <c r="D618" s="45" t="n">
        <v>0</v>
      </c>
      <c r="E618" s="45" t="n">
        <v>0</v>
      </c>
      <c r="F618" s="45" t="n">
        <v>0</v>
      </c>
      <c r="G618" s="45" t="n">
        <v>0</v>
      </c>
      <c r="H618" s="45" t="n">
        <v>0</v>
      </c>
      <c r="I618" s="45" t="n">
        <v>0</v>
      </c>
      <c r="J618" s="45" t="n">
        <v>0</v>
      </c>
      <c r="K618" s="45" t="n">
        <v>0</v>
      </c>
      <c r="L618" s="45" t="n">
        <v>0</v>
      </c>
      <c r="M618" s="45" t="n">
        <v>0</v>
      </c>
      <c r="N618" s="45" t="n">
        <v>0</v>
      </c>
    </row>
    <row r="619" customFormat="false" ht="18" hidden="false" customHeight="true" outlineLevel="0" collapsed="false">
      <c r="B619" s="36" t="s">
        <v>88</v>
      </c>
      <c r="C619" s="37" t="n">
        <v>3</v>
      </c>
      <c r="D619" s="37" t="n">
        <v>0</v>
      </c>
      <c r="E619" s="37" t="n">
        <v>0</v>
      </c>
      <c r="F619" s="37" t="n">
        <v>0</v>
      </c>
      <c r="G619" s="37" t="n">
        <v>0</v>
      </c>
      <c r="H619" s="37" t="n">
        <v>0</v>
      </c>
      <c r="I619" s="37" t="n">
        <v>0</v>
      </c>
      <c r="J619" s="37" t="n">
        <v>0</v>
      </c>
      <c r="K619" s="37" t="n">
        <v>0</v>
      </c>
      <c r="L619" s="37" t="n">
        <v>0</v>
      </c>
      <c r="M619" s="37" t="n">
        <v>0</v>
      </c>
      <c r="N619" s="37" t="n">
        <v>0</v>
      </c>
    </row>
    <row r="622" customFormat="false" ht="27.75" hidden="false" customHeight="true" outlineLevel="0" collapsed="false">
      <c r="B622" s="46" t="s">
        <v>128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</row>
    <row r="623" customFormat="false" ht="3.75" hidden="false" customHeight="true" outlineLevel="0" collapsed="false"/>
    <row r="624" customFormat="false" ht="25.5" hidden="false" customHeight="true" outlineLevel="0" collapsed="false">
      <c r="B624" s="47" t="s">
        <v>51</v>
      </c>
      <c r="C624" s="47" t="s">
        <v>68</v>
      </c>
      <c r="D624" s="47" t="s">
        <v>69</v>
      </c>
      <c r="E624" s="47" t="s">
        <v>70</v>
      </c>
      <c r="F624" s="47" t="s">
        <v>71</v>
      </c>
      <c r="G624" s="47" t="s">
        <v>72</v>
      </c>
      <c r="H624" s="47" t="s">
        <v>73</v>
      </c>
      <c r="I624" s="47" t="s">
        <v>74</v>
      </c>
      <c r="J624" s="47" t="s">
        <v>75</v>
      </c>
      <c r="K624" s="47" t="s">
        <v>76</v>
      </c>
      <c r="L624" s="47" t="s">
        <v>77</v>
      </c>
      <c r="M624" s="47" t="s">
        <v>78</v>
      </c>
      <c r="N624" s="47" t="s">
        <v>79</v>
      </c>
    </row>
    <row r="625" customFormat="false" ht="18" hidden="false" customHeight="true" outlineLevel="0" collapsed="false">
      <c r="B625" s="36" t="s">
        <v>80</v>
      </c>
      <c r="C625" s="37" t="n">
        <v>18</v>
      </c>
      <c r="D625" s="37" t="n">
        <v>0</v>
      </c>
      <c r="E625" s="37" t="n">
        <v>0</v>
      </c>
      <c r="F625" s="37" t="n">
        <v>0</v>
      </c>
      <c r="G625" s="37" t="n">
        <v>0</v>
      </c>
      <c r="H625" s="37" t="n">
        <v>0</v>
      </c>
      <c r="I625" s="37" t="n">
        <v>0</v>
      </c>
      <c r="J625" s="37" t="n">
        <v>0</v>
      </c>
      <c r="K625" s="37" t="n">
        <v>0</v>
      </c>
      <c r="L625" s="37" t="n">
        <v>0</v>
      </c>
      <c r="M625" s="37" t="n">
        <v>0</v>
      </c>
      <c r="N625" s="37" t="n">
        <v>0</v>
      </c>
    </row>
    <row r="626" customFormat="false" ht="18" hidden="false" customHeight="true" outlineLevel="0" collapsed="false">
      <c r="B626" s="38" t="s">
        <v>81</v>
      </c>
      <c r="C626" s="39" t="n">
        <v>0</v>
      </c>
      <c r="D626" s="39" t="n">
        <v>0</v>
      </c>
      <c r="E626" s="39" t="n">
        <v>0</v>
      </c>
      <c r="F626" s="39" t="n">
        <v>0</v>
      </c>
      <c r="G626" s="39" t="n">
        <v>0</v>
      </c>
      <c r="H626" s="39" t="n">
        <v>0</v>
      </c>
      <c r="I626" s="39" t="n">
        <v>0</v>
      </c>
      <c r="J626" s="39" t="n">
        <v>0</v>
      </c>
      <c r="K626" s="39" t="n">
        <v>0</v>
      </c>
      <c r="L626" s="39" t="n">
        <v>0</v>
      </c>
      <c r="M626" s="39" t="n">
        <v>0</v>
      </c>
      <c r="N626" s="39" t="n">
        <v>0</v>
      </c>
    </row>
    <row r="627" customFormat="false" ht="18" hidden="false" customHeight="true" outlineLevel="0" collapsed="false">
      <c r="B627" s="40" t="s">
        <v>82</v>
      </c>
      <c r="C627" s="41" t="n">
        <v>0</v>
      </c>
      <c r="D627" s="41" t="n">
        <v>0</v>
      </c>
      <c r="E627" s="41" t="n">
        <v>0</v>
      </c>
      <c r="F627" s="41" t="n">
        <v>0</v>
      </c>
      <c r="G627" s="41" t="n">
        <v>0</v>
      </c>
      <c r="H627" s="41" t="n">
        <v>0</v>
      </c>
      <c r="I627" s="41" t="n">
        <v>0</v>
      </c>
      <c r="J627" s="41" t="n">
        <v>0</v>
      </c>
      <c r="K627" s="41" t="n">
        <v>0</v>
      </c>
      <c r="L627" s="41" t="n">
        <v>0</v>
      </c>
      <c r="M627" s="41" t="n">
        <v>0</v>
      </c>
      <c r="N627" s="41" t="n">
        <v>0</v>
      </c>
    </row>
    <row r="628" customFormat="false" ht="18" hidden="false" customHeight="true" outlineLevel="0" collapsed="false">
      <c r="B628" s="38" t="s">
        <v>83</v>
      </c>
      <c r="C628" s="39" t="n">
        <v>0</v>
      </c>
      <c r="D628" s="39" t="n">
        <v>0</v>
      </c>
      <c r="E628" s="39" t="n">
        <v>0</v>
      </c>
      <c r="F628" s="39" t="n">
        <v>0</v>
      </c>
      <c r="G628" s="39" t="n">
        <v>0</v>
      </c>
      <c r="H628" s="39" t="n">
        <v>0</v>
      </c>
      <c r="I628" s="39" t="n">
        <v>0</v>
      </c>
      <c r="J628" s="39" t="n">
        <v>0</v>
      </c>
      <c r="K628" s="39" t="n">
        <v>0</v>
      </c>
      <c r="L628" s="39" t="n">
        <v>0</v>
      </c>
      <c r="M628" s="39" t="n">
        <v>0</v>
      </c>
      <c r="N628" s="39" t="n">
        <v>0</v>
      </c>
    </row>
    <row r="629" customFormat="false" ht="18" hidden="false" customHeight="true" outlineLevel="0" collapsed="false">
      <c r="B629" s="42" t="s">
        <v>84</v>
      </c>
      <c r="C629" s="43" t="n">
        <f aca="false">SUMPRODUCT((MONTH('⚫ Confirmed Attrition'!$G$5:$G$1000)=1)*(YEAR('⚫ Confirmed Attrition'!$G$5:$G$1000)=2026)*('⚫ Confirmed Attrition'!$D$5:$D$1000="Mistica Dela Cruz"))</f>
        <v>0</v>
      </c>
      <c r="D629" s="43" t="n">
        <f aca="false">SUMPRODUCT((MONTH('⚫ Confirmed Attrition'!$G$5:$G$1000)=2)*(YEAR('⚫ Confirmed Attrition'!$G$5:$G$1000)=2026)*('⚫ Confirmed Attrition'!$D$5:$D$1000="Mistica Dela Cruz"))</f>
        <v>0</v>
      </c>
      <c r="E629" s="43" t="n">
        <f aca="false">SUMPRODUCT((MONTH('⚫ Confirmed Attrition'!$G$5:$G$1000)=3)*(YEAR('⚫ Confirmed Attrition'!$G$5:$G$1000)=2026)*('⚫ Confirmed Attrition'!$D$5:$D$1000="Mistica Dela Cruz"))</f>
        <v>0</v>
      </c>
      <c r="F629" s="43" t="n">
        <f aca="false">SUMPRODUCT((MONTH('⚫ Confirmed Attrition'!$G$5:$G$1000)=4)*(YEAR('⚫ Confirmed Attrition'!$G$5:$G$1000)=2026)*('⚫ Confirmed Attrition'!$D$5:$D$1000="Mistica Dela Cruz"))</f>
        <v>0</v>
      </c>
      <c r="G629" s="43" t="n">
        <f aca="false">SUMPRODUCT((MONTH('⚫ Confirmed Attrition'!$G$5:$G$1000)=5)*(YEAR('⚫ Confirmed Attrition'!$G$5:$G$1000)=2026)*('⚫ Confirmed Attrition'!$D$5:$D$1000="Mistica Dela Cruz"))</f>
        <v>0</v>
      </c>
      <c r="H629" s="43" t="n">
        <f aca="false">SUMPRODUCT((MONTH('⚫ Confirmed Attrition'!$G$5:$G$1000)=6)*(YEAR('⚫ Confirmed Attrition'!$G$5:$G$1000)=2026)*('⚫ Confirmed Attrition'!$D$5:$D$1000="Mistica Dela Cruz"))</f>
        <v>0</v>
      </c>
      <c r="I629" s="43" t="n">
        <f aca="false">SUMPRODUCT((MONTH('⚫ Confirmed Attrition'!$G$5:$G$1000)=7)*(YEAR('⚫ Confirmed Attrition'!$G$5:$G$1000)=2026)*('⚫ Confirmed Attrition'!$D$5:$D$1000="Mistica Dela Cruz"))</f>
        <v>0</v>
      </c>
      <c r="J629" s="43" t="n">
        <f aca="false">SUMPRODUCT((MONTH('⚫ Confirmed Attrition'!$G$5:$G$1000)=8)*(YEAR('⚫ Confirmed Attrition'!$G$5:$G$1000)=2026)*('⚫ Confirmed Attrition'!$D$5:$D$1000="Mistica Dela Cruz"))</f>
        <v>0</v>
      </c>
      <c r="K629" s="43" t="n">
        <f aca="false">SUMPRODUCT((MONTH('⚫ Confirmed Attrition'!$G$5:$G$1000)=9)*(YEAR('⚫ Confirmed Attrition'!$G$5:$G$1000)=2026)*('⚫ Confirmed Attrition'!$D$5:$D$1000="Mistica Dela Cruz"))</f>
        <v>0</v>
      </c>
      <c r="L629" s="43" t="n">
        <f aca="false">SUMPRODUCT((MONTH('⚫ Confirmed Attrition'!$G$5:$G$1000)=10)*(YEAR('⚫ Confirmed Attrition'!$G$5:$G$1000)=2026)*('⚫ Confirmed Attrition'!$D$5:$D$1000="Mistica Dela Cruz"))</f>
        <v>0</v>
      </c>
      <c r="M629" s="43" t="n">
        <f aca="false">SUMPRODUCT((MONTH('⚫ Confirmed Attrition'!$G$5:$G$1000)=11)*(YEAR('⚫ Confirmed Attrition'!$G$5:$G$1000)=2026)*('⚫ Confirmed Attrition'!$D$5:$D$1000="Mistica Dela Cruz"))</f>
        <v>0</v>
      </c>
      <c r="N629" s="43" t="n">
        <f aca="false">SUMPRODUCT((MONTH('⚫ Confirmed Attrition'!$G$5:$G$1000)=12)*(YEAR('⚫ Confirmed Attrition'!$G$5:$G$1000)=2026)*('⚫ Confirmed Attrition'!$D$5:$D$1000="Mistica Dela Cruz"))</f>
        <v>0</v>
      </c>
    </row>
    <row r="630" customFormat="false" ht="18" hidden="false" customHeight="true" outlineLevel="0" collapsed="false">
      <c r="B630" s="44" t="s">
        <v>85</v>
      </c>
      <c r="C630" s="45" t="n">
        <v>0</v>
      </c>
      <c r="D630" s="45" t="n">
        <v>0</v>
      </c>
      <c r="E630" s="45" t="n">
        <v>0</v>
      </c>
      <c r="F630" s="45" t="n">
        <v>0</v>
      </c>
      <c r="G630" s="45" t="n">
        <v>0</v>
      </c>
      <c r="H630" s="45" t="n">
        <v>0</v>
      </c>
      <c r="I630" s="45" t="n">
        <v>0</v>
      </c>
      <c r="J630" s="45" t="n">
        <v>0</v>
      </c>
      <c r="K630" s="45" t="n">
        <v>0</v>
      </c>
      <c r="L630" s="45" t="n">
        <v>0</v>
      </c>
      <c r="M630" s="45" t="n">
        <v>0</v>
      </c>
      <c r="N630" s="45" t="n">
        <v>0</v>
      </c>
    </row>
    <row r="631" customFormat="false" ht="18" hidden="false" customHeight="true" outlineLevel="0" collapsed="false">
      <c r="B631" s="44" t="s">
        <v>86</v>
      </c>
      <c r="C631" s="45" t="n">
        <v>0</v>
      </c>
      <c r="D631" s="45" t="n">
        <v>0</v>
      </c>
      <c r="E631" s="45" t="n">
        <v>0</v>
      </c>
      <c r="F631" s="45" t="n">
        <v>0</v>
      </c>
      <c r="G631" s="45" t="n">
        <v>0</v>
      </c>
      <c r="H631" s="45" t="n">
        <v>0</v>
      </c>
      <c r="I631" s="45" t="n">
        <v>0</v>
      </c>
      <c r="J631" s="45" t="n">
        <v>0</v>
      </c>
      <c r="K631" s="45" t="n">
        <v>0</v>
      </c>
      <c r="L631" s="45" t="n">
        <v>0</v>
      </c>
      <c r="M631" s="45" t="n">
        <v>0</v>
      </c>
      <c r="N631" s="45" t="n">
        <v>0</v>
      </c>
    </row>
    <row r="632" customFormat="false" ht="18" hidden="false" customHeight="true" outlineLevel="0" collapsed="false">
      <c r="B632" s="44" t="s">
        <v>87</v>
      </c>
      <c r="C632" s="45" t="n">
        <v>0</v>
      </c>
      <c r="D632" s="45" t="n">
        <v>0</v>
      </c>
      <c r="E632" s="45" t="n">
        <v>0</v>
      </c>
      <c r="F632" s="45" t="n">
        <v>0</v>
      </c>
      <c r="G632" s="45" t="n">
        <v>0</v>
      </c>
      <c r="H632" s="45" t="n">
        <v>0</v>
      </c>
      <c r="I632" s="45" t="n">
        <v>0</v>
      </c>
      <c r="J632" s="45" t="n">
        <v>0</v>
      </c>
      <c r="K632" s="45" t="n">
        <v>0</v>
      </c>
      <c r="L632" s="45" t="n">
        <v>0</v>
      </c>
      <c r="M632" s="45" t="n">
        <v>0</v>
      </c>
      <c r="N632" s="45" t="n">
        <v>0</v>
      </c>
    </row>
    <row r="633" customFormat="false" ht="18" hidden="false" customHeight="true" outlineLevel="0" collapsed="false">
      <c r="B633" s="36" t="s">
        <v>88</v>
      </c>
      <c r="C633" s="37" t="n">
        <v>18</v>
      </c>
      <c r="D633" s="37" t="n">
        <v>0</v>
      </c>
      <c r="E633" s="37" t="n">
        <v>0</v>
      </c>
      <c r="F633" s="37" t="n">
        <v>0</v>
      </c>
      <c r="G633" s="37" t="n">
        <v>0</v>
      </c>
      <c r="H633" s="37" t="n">
        <v>0</v>
      </c>
      <c r="I633" s="37" t="n">
        <v>0</v>
      </c>
      <c r="J633" s="37" t="n">
        <v>0</v>
      </c>
      <c r="K633" s="37" t="n">
        <v>0</v>
      </c>
      <c r="L633" s="37" t="n">
        <v>0</v>
      </c>
      <c r="M633" s="37" t="n">
        <v>0</v>
      </c>
      <c r="N633" s="37" t="n">
        <v>0</v>
      </c>
    </row>
    <row r="636" customFormat="false" ht="27.75" hidden="false" customHeight="true" outlineLevel="0" collapsed="false">
      <c r="B636" s="46" t="s">
        <v>129</v>
      </c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</row>
    <row r="637" customFormat="false" ht="3.75" hidden="false" customHeight="true" outlineLevel="0" collapsed="false"/>
    <row r="638" customFormat="false" ht="25.5" hidden="false" customHeight="true" outlineLevel="0" collapsed="false">
      <c r="B638" s="47" t="s">
        <v>52</v>
      </c>
      <c r="C638" s="47" t="s">
        <v>68</v>
      </c>
      <c r="D638" s="47" t="s">
        <v>69</v>
      </c>
      <c r="E638" s="47" t="s">
        <v>70</v>
      </c>
      <c r="F638" s="47" t="s">
        <v>71</v>
      </c>
      <c r="G638" s="47" t="s">
        <v>72</v>
      </c>
      <c r="H638" s="47" t="s">
        <v>73</v>
      </c>
      <c r="I638" s="47" t="s">
        <v>74</v>
      </c>
      <c r="J638" s="47" t="s">
        <v>75</v>
      </c>
      <c r="K638" s="47" t="s">
        <v>76</v>
      </c>
      <c r="L638" s="47" t="s">
        <v>77</v>
      </c>
      <c r="M638" s="47" t="s">
        <v>78</v>
      </c>
      <c r="N638" s="47" t="s">
        <v>79</v>
      </c>
    </row>
    <row r="639" customFormat="false" ht="18" hidden="false" customHeight="true" outlineLevel="0" collapsed="false">
      <c r="B639" s="36" t="s">
        <v>80</v>
      </c>
      <c r="C639" s="37" t="n">
        <v>13</v>
      </c>
      <c r="D639" s="37" t="n">
        <v>0</v>
      </c>
      <c r="E639" s="37" t="n">
        <v>0</v>
      </c>
      <c r="F639" s="37" t="n">
        <v>0</v>
      </c>
      <c r="G639" s="37" t="n">
        <v>0</v>
      </c>
      <c r="H639" s="37" t="n">
        <v>0</v>
      </c>
      <c r="I639" s="37" t="n">
        <v>0</v>
      </c>
      <c r="J639" s="37" t="n">
        <v>0</v>
      </c>
      <c r="K639" s="37" t="n">
        <v>0</v>
      </c>
      <c r="L639" s="37" t="n">
        <v>0</v>
      </c>
      <c r="M639" s="37" t="n">
        <v>0</v>
      </c>
      <c r="N639" s="37" t="n">
        <v>0</v>
      </c>
    </row>
    <row r="640" customFormat="false" ht="18" hidden="false" customHeight="true" outlineLevel="0" collapsed="false">
      <c r="B640" s="38" t="s">
        <v>81</v>
      </c>
      <c r="C640" s="39" t="n">
        <v>0</v>
      </c>
      <c r="D640" s="39" t="n">
        <v>0</v>
      </c>
      <c r="E640" s="39" t="n">
        <v>0</v>
      </c>
      <c r="F640" s="39" t="n">
        <v>0</v>
      </c>
      <c r="G640" s="39" t="n">
        <v>0</v>
      </c>
      <c r="H640" s="39" t="n">
        <v>0</v>
      </c>
      <c r="I640" s="39" t="n">
        <v>0</v>
      </c>
      <c r="J640" s="39" t="n">
        <v>0</v>
      </c>
      <c r="K640" s="39" t="n">
        <v>0</v>
      </c>
      <c r="L640" s="39" t="n">
        <v>0</v>
      </c>
      <c r="M640" s="39" t="n">
        <v>0</v>
      </c>
      <c r="N640" s="39" t="n">
        <v>0</v>
      </c>
    </row>
    <row r="641" customFormat="false" ht="18" hidden="false" customHeight="true" outlineLevel="0" collapsed="false">
      <c r="B641" s="40" t="s">
        <v>82</v>
      </c>
      <c r="C641" s="41" t="n">
        <v>0</v>
      </c>
      <c r="D641" s="41" t="n">
        <v>0</v>
      </c>
      <c r="E641" s="41" t="n">
        <v>0</v>
      </c>
      <c r="F641" s="41" t="n">
        <v>0</v>
      </c>
      <c r="G641" s="41" t="n">
        <v>0</v>
      </c>
      <c r="H641" s="41" t="n">
        <v>0</v>
      </c>
      <c r="I641" s="41" t="n">
        <v>0</v>
      </c>
      <c r="J641" s="41" t="n">
        <v>0</v>
      </c>
      <c r="K641" s="41" t="n">
        <v>0</v>
      </c>
      <c r="L641" s="41" t="n">
        <v>0</v>
      </c>
      <c r="M641" s="41" t="n">
        <v>0</v>
      </c>
      <c r="N641" s="41" t="n">
        <v>0</v>
      </c>
    </row>
    <row r="642" customFormat="false" ht="18" hidden="false" customHeight="true" outlineLevel="0" collapsed="false">
      <c r="B642" s="38" t="s">
        <v>83</v>
      </c>
      <c r="C642" s="39" t="n">
        <v>0</v>
      </c>
      <c r="D642" s="39" t="n">
        <v>0</v>
      </c>
      <c r="E642" s="39" t="n">
        <v>0</v>
      </c>
      <c r="F642" s="39" t="n">
        <v>0</v>
      </c>
      <c r="G642" s="39" t="n">
        <v>0</v>
      </c>
      <c r="H642" s="39" t="n">
        <v>0</v>
      </c>
      <c r="I642" s="39" t="n">
        <v>0</v>
      </c>
      <c r="J642" s="39" t="n">
        <v>0</v>
      </c>
      <c r="K642" s="39" t="n">
        <v>0</v>
      </c>
      <c r="L642" s="39" t="n">
        <v>0</v>
      </c>
      <c r="M642" s="39" t="n">
        <v>0</v>
      </c>
      <c r="N642" s="39" t="n">
        <v>0</v>
      </c>
    </row>
    <row r="643" customFormat="false" ht="18" hidden="false" customHeight="true" outlineLevel="0" collapsed="false">
      <c r="B643" s="42" t="s">
        <v>84</v>
      </c>
      <c r="C643" s="43" t="n">
        <f aca="false">SUMPRODUCT((MONTH('⚫ Confirmed Attrition'!$G$5:$G$1000)=1)*(YEAR('⚫ Confirmed Attrition'!$G$5:$G$1000)=2026)*('⚫ Confirmed Attrition'!$D$5:$D$1000="Osmari Rodriguez"))</f>
        <v>0</v>
      </c>
      <c r="D643" s="43" t="n">
        <f aca="false">SUMPRODUCT((MONTH('⚫ Confirmed Attrition'!$G$5:$G$1000)=2)*(YEAR('⚫ Confirmed Attrition'!$G$5:$G$1000)=2026)*('⚫ Confirmed Attrition'!$D$5:$D$1000="Osmari Rodriguez"))</f>
        <v>0</v>
      </c>
      <c r="E643" s="43" t="n">
        <f aca="false">SUMPRODUCT((MONTH('⚫ Confirmed Attrition'!$G$5:$G$1000)=3)*(YEAR('⚫ Confirmed Attrition'!$G$5:$G$1000)=2026)*('⚫ Confirmed Attrition'!$D$5:$D$1000="Osmari Rodriguez"))</f>
        <v>0</v>
      </c>
      <c r="F643" s="43" t="n">
        <f aca="false">SUMPRODUCT((MONTH('⚫ Confirmed Attrition'!$G$5:$G$1000)=4)*(YEAR('⚫ Confirmed Attrition'!$G$5:$G$1000)=2026)*('⚫ Confirmed Attrition'!$D$5:$D$1000="Osmari Rodriguez"))</f>
        <v>0</v>
      </c>
      <c r="G643" s="43" t="n">
        <f aca="false">SUMPRODUCT((MONTH('⚫ Confirmed Attrition'!$G$5:$G$1000)=5)*(YEAR('⚫ Confirmed Attrition'!$G$5:$G$1000)=2026)*('⚫ Confirmed Attrition'!$D$5:$D$1000="Osmari Rodriguez"))</f>
        <v>0</v>
      </c>
      <c r="H643" s="43" t="n">
        <f aca="false">SUMPRODUCT((MONTH('⚫ Confirmed Attrition'!$G$5:$G$1000)=6)*(YEAR('⚫ Confirmed Attrition'!$G$5:$G$1000)=2026)*('⚫ Confirmed Attrition'!$D$5:$D$1000="Osmari Rodriguez"))</f>
        <v>0</v>
      </c>
      <c r="I643" s="43" t="n">
        <f aca="false">SUMPRODUCT((MONTH('⚫ Confirmed Attrition'!$G$5:$G$1000)=7)*(YEAR('⚫ Confirmed Attrition'!$G$5:$G$1000)=2026)*('⚫ Confirmed Attrition'!$D$5:$D$1000="Osmari Rodriguez"))</f>
        <v>0</v>
      </c>
      <c r="J643" s="43" t="n">
        <f aca="false">SUMPRODUCT((MONTH('⚫ Confirmed Attrition'!$G$5:$G$1000)=8)*(YEAR('⚫ Confirmed Attrition'!$G$5:$G$1000)=2026)*('⚫ Confirmed Attrition'!$D$5:$D$1000="Osmari Rodriguez"))</f>
        <v>0</v>
      </c>
      <c r="K643" s="43" t="n">
        <f aca="false">SUMPRODUCT((MONTH('⚫ Confirmed Attrition'!$G$5:$G$1000)=9)*(YEAR('⚫ Confirmed Attrition'!$G$5:$G$1000)=2026)*('⚫ Confirmed Attrition'!$D$5:$D$1000="Osmari Rodriguez"))</f>
        <v>0</v>
      </c>
      <c r="L643" s="43" t="n">
        <f aca="false">SUMPRODUCT((MONTH('⚫ Confirmed Attrition'!$G$5:$G$1000)=10)*(YEAR('⚫ Confirmed Attrition'!$G$5:$G$1000)=2026)*('⚫ Confirmed Attrition'!$D$5:$D$1000="Osmari Rodriguez"))</f>
        <v>0</v>
      </c>
      <c r="M643" s="43" t="n">
        <f aca="false">SUMPRODUCT((MONTH('⚫ Confirmed Attrition'!$G$5:$G$1000)=11)*(YEAR('⚫ Confirmed Attrition'!$G$5:$G$1000)=2026)*('⚫ Confirmed Attrition'!$D$5:$D$1000="Osmari Rodriguez"))</f>
        <v>0</v>
      </c>
      <c r="N643" s="43" t="n">
        <f aca="false">SUMPRODUCT((MONTH('⚫ Confirmed Attrition'!$G$5:$G$1000)=12)*(YEAR('⚫ Confirmed Attrition'!$G$5:$G$1000)=2026)*('⚫ Confirmed Attrition'!$D$5:$D$1000="Osmari Rodriguez"))</f>
        <v>0</v>
      </c>
    </row>
    <row r="644" customFormat="false" ht="18" hidden="false" customHeight="true" outlineLevel="0" collapsed="false">
      <c r="B644" s="44" t="s">
        <v>85</v>
      </c>
      <c r="C644" s="45" t="n">
        <v>0</v>
      </c>
      <c r="D644" s="45" t="n">
        <v>0</v>
      </c>
      <c r="E644" s="45" t="n">
        <v>0</v>
      </c>
      <c r="F644" s="45" t="n">
        <v>0</v>
      </c>
      <c r="G644" s="45" t="n">
        <v>0</v>
      </c>
      <c r="H644" s="45" t="n">
        <v>0</v>
      </c>
      <c r="I644" s="45" t="n">
        <v>0</v>
      </c>
      <c r="J644" s="45" t="n">
        <v>0</v>
      </c>
      <c r="K644" s="45" t="n">
        <v>0</v>
      </c>
      <c r="L644" s="45" t="n">
        <v>0</v>
      </c>
      <c r="M644" s="45" t="n">
        <v>0</v>
      </c>
      <c r="N644" s="45" t="n">
        <v>0</v>
      </c>
    </row>
    <row r="645" customFormat="false" ht="18" hidden="false" customHeight="true" outlineLevel="0" collapsed="false">
      <c r="B645" s="44" t="s">
        <v>86</v>
      </c>
      <c r="C645" s="45" t="n">
        <v>0</v>
      </c>
      <c r="D645" s="45" t="n">
        <v>0</v>
      </c>
      <c r="E645" s="45" t="n">
        <v>0</v>
      </c>
      <c r="F645" s="45" t="n">
        <v>0</v>
      </c>
      <c r="G645" s="45" t="n">
        <v>0</v>
      </c>
      <c r="H645" s="45" t="n">
        <v>0</v>
      </c>
      <c r="I645" s="45" t="n">
        <v>0</v>
      </c>
      <c r="J645" s="45" t="n">
        <v>0</v>
      </c>
      <c r="K645" s="45" t="n">
        <v>0</v>
      </c>
      <c r="L645" s="45" t="n">
        <v>0</v>
      </c>
      <c r="M645" s="45" t="n">
        <v>0</v>
      </c>
      <c r="N645" s="45" t="n">
        <v>0</v>
      </c>
    </row>
    <row r="646" customFormat="false" ht="18" hidden="false" customHeight="true" outlineLevel="0" collapsed="false">
      <c r="B646" s="44" t="s">
        <v>87</v>
      </c>
      <c r="C646" s="45" t="n">
        <v>0</v>
      </c>
      <c r="D646" s="45" t="n">
        <v>0</v>
      </c>
      <c r="E646" s="45" t="n">
        <v>0</v>
      </c>
      <c r="F646" s="45" t="n">
        <v>0</v>
      </c>
      <c r="G646" s="45" t="n">
        <v>0</v>
      </c>
      <c r="H646" s="45" t="n">
        <v>0</v>
      </c>
      <c r="I646" s="45" t="n">
        <v>0</v>
      </c>
      <c r="J646" s="45" t="n">
        <v>0</v>
      </c>
      <c r="K646" s="45" t="n">
        <v>0</v>
      </c>
      <c r="L646" s="45" t="n">
        <v>0</v>
      </c>
      <c r="M646" s="45" t="n">
        <v>0</v>
      </c>
      <c r="N646" s="45" t="n">
        <v>0</v>
      </c>
    </row>
    <row r="647" customFormat="false" ht="18" hidden="false" customHeight="true" outlineLevel="0" collapsed="false">
      <c r="B647" s="36" t="s">
        <v>88</v>
      </c>
      <c r="C647" s="37" t="n">
        <v>13</v>
      </c>
      <c r="D647" s="37" t="n">
        <v>0</v>
      </c>
      <c r="E647" s="37" t="n">
        <v>0</v>
      </c>
      <c r="F647" s="37" t="n">
        <v>0</v>
      </c>
      <c r="G647" s="37" t="n">
        <v>0</v>
      </c>
      <c r="H647" s="37" t="n">
        <v>0</v>
      </c>
      <c r="I647" s="37" t="n">
        <v>0</v>
      </c>
      <c r="J647" s="37" t="n">
        <v>0</v>
      </c>
      <c r="K647" s="37" t="n">
        <v>0</v>
      </c>
      <c r="L647" s="37" t="n">
        <v>0</v>
      </c>
      <c r="M647" s="37" t="n">
        <v>0</v>
      </c>
      <c r="N647" s="37" t="n">
        <v>0</v>
      </c>
    </row>
    <row r="650" customFormat="false" ht="27.75" hidden="false" customHeight="true" outlineLevel="0" collapsed="false">
      <c r="B650" s="46" t="s">
        <v>130</v>
      </c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</row>
    <row r="651" customFormat="false" ht="3.75" hidden="false" customHeight="true" outlineLevel="0" collapsed="false"/>
    <row r="652" customFormat="false" ht="25.5" hidden="false" customHeight="true" outlineLevel="0" collapsed="false">
      <c r="B652" s="47" t="s">
        <v>53</v>
      </c>
      <c r="C652" s="47" t="s">
        <v>68</v>
      </c>
      <c r="D652" s="47" t="s">
        <v>69</v>
      </c>
      <c r="E652" s="47" t="s">
        <v>70</v>
      </c>
      <c r="F652" s="47" t="s">
        <v>71</v>
      </c>
      <c r="G652" s="47" t="s">
        <v>72</v>
      </c>
      <c r="H652" s="47" t="s">
        <v>73</v>
      </c>
      <c r="I652" s="47" t="s">
        <v>74</v>
      </c>
      <c r="J652" s="47" t="s">
        <v>75</v>
      </c>
      <c r="K652" s="47" t="s">
        <v>76</v>
      </c>
      <c r="L652" s="47" t="s">
        <v>77</v>
      </c>
      <c r="M652" s="47" t="s">
        <v>78</v>
      </c>
      <c r="N652" s="47" t="s">
        <v>79</v>
      </c>
    </row>
    <row r="653" customFormat="false" ht="18" hidden="false" customHeight="true" outlineLevel="0" collapsed="false">
      <c r="B653" s="36" t="s">
        <v>80</v>
      </c>
      <c r="C653" s="37" t="n">
        <v>4</v>
      </c>
      <c r="D653" s="37" t="n">
        <v>0</v>
      </c>
      <c r="E653" s="37" t="n">
        <v>0</v>
      </c>
      <c r="F653" s="37" t="n">
        <v>0</v>
      </c>
      <c r="G653" s="37" t="n">
        <v>0</v>
      </c>
      <c r="H653" s="37" t="n">
        <v>0</v>
      </c>
      <c r="I653" s="37" t="n">
        <v>0</v>
      </c>
      <c r="J653" s="37" t="n">
        <v>0</v>
      </c>
      <c r="K653" s="37" t="n">
        <v>0</v>
      </c>
      <c r="L653" s="37" t="n">
        <v>0</v>
      </c>
      <c r="M653" s="37" t="n">
        <v>0</v>
      </c>
      <c r="N653" s="37" t="n">
        <v>0</v>
      </c>
    </row>
    <row r="654" customFormat="false" ht="18" hidden="false" customHeight="true" outlineLevel="0" collapsed="false">
      <c r="B654" s="38" t="s">
        <v>81</v>
      </c>
      <c r="C654" s="39" t="n">
        <v>0</v>
      </c>
      <c r="D654" s="39" t="n">
        <v>0</v>
      </c>
      <c r="E654" s="39" t="n">
        <v>0</v>
      </c>
      <c r="F654" s="39" t="n">
        <v>0</v>
      </c>
      <c r="G654" s="39" t="n">
        <v>0</v>
      </c>
      <c r="H654" s="39" t="n">
        <v>0</v>
      </c>
      <c r="I654" s="39" t="n">
        <v>0</v>
      </c>
      <c r="J654" s="39" t="n">
        <v>0</v>
      </c>
      <c r="K654" s="39" t="n">
        <v>0</v>
      </c>
      <c r="L654" s="39" t="n">
        <v>0</v>
      </c>
      <c r="M654" s="39" t="n">
        <v>0</v>
      </c>
      <c r="N654" s="39" t="n">
        <v>0</v>
      </c>
    </row>
    <row r="655" customFormat="false" ht="18" hidden="false" customHeight="true" outlineLevel="0" collapsed="false">
      <c r="B655" s="40" t="s">
        <v>82</v>
      </c>
      <c r="C655" s="41" t="n">
        <v>0</v>
      </c>
      <c r="D655" s="41" t="n">
        <v>0</v>
      </c>
      <c r="E655" s="41" t="n">
        <v>0</v>
      </c>
      <c r="F655" s="41" t="n">
        <v>0</v>
      </c>
      <c r="G655" s="41" t="n">
        <v>0</v>
      </c>
      <c r="H655" s="41" t="n">
        <v>0</v>
      </c>
      <c r="I655" s="41" t="n">
        <v>0</v>
      </c>
      <c r="J655" s="41" t="n">
        <v>0</v>
      </c>
      <c r="K655" s="41" t="n">
        <v>0</v>
      </c>
      <c r="L655" s="41" t="n">
        <v>0</v>
      </c>
      <c r="M655" s="41" t="n">
        <v>0</v>
      </c>
      <c r="N655" s="41" t="n">
        <v>0</v>
      </c>
    </row>
    <row r="656" customFormat="false" ht="18" hidden="false" customHeight="true" outlineLevel="0" collapsed="false">
      <c r="B656" s="38" t="s">
        <v>83</v>
      </c>
      <c r="C656" s="39" t="n">
        <v>0</v>
      </c>
      <c r="D656" s="39" t="n">
        <v>0</v>
      </c>
      <c r="E656" s="39" t="n">
        <v>0</v>
      </c>
      <c r="F656" s="39" t="n">
        <v>0</v>
      </c>
      <c r="G656" s="39" t="n">
        <v>0</v>
      </c>
      <c r="H656" s="39" t="n">
        <v>0</v>
      </c>
      <c r="I656" s="39" t="n">
        <v>0</v>
      </c>
      <c r="J656" s="39" t="n">
        <v>0</v>
      </c>
      <c r="K656" s="39" t="n">
        <v>0</v>
      </c>
      <c r="L656" s="39" t="n">
        <v>0</v>
      </c>
      <c r="M656" s="39" t="n">
        <v>0</v>
      </c>
      <c r="N656" s="39" t="n">
        <v>0</v>
      </c>
    </row>
    <row r="657" customFormat="false" ht="18" hidden="false" customHeight="true" outlineLevel="0" collapsed="false">
      <c r="B657" s="42" t="s">
        <v>84</v>
      </c>
      <c r="C657" s="43" t="n">
        <f aca="false">SUMPRODUCT((MONTH('⚫ Confirmed Attrition'!$G$5:$G$1000)=1)*(YEAR('⚫ Confirmed Attrition'!$G$5:$G$1000)=2026)*('⚫ Confirmed Attrition'!$D$5:$D$1000="Paolo Cabantog Dacanay"))</f>
        <v>0</v>
      </c>
      <c r="D657" s="43" t="n">
        <f aca="false">SUMPRODUCT((MONTH('⚫ Confirmed Attrition'!$G$5:$G$1000)=2)*(YEAR('⚫ Confirmed Attrition'!$G$5:$G$1000)=2026)*('⚫ Confirmed Attrition'!$D$5:$D$1000="Paolo Cabantog Dacanay"))</f>
        <v>0</v>
      </c>
      <c r="E657" s="43" t="n">
        <f aca="false">SUMPRODUCT((MONTH('⚫ Confirmed Attrition'!$G$5:$G$1000)=3)*(YEAR('⚫ Confirmed Attrition'!$G$5:$G$1000)=2026)*('⚫ Confirmed Attrition'!$D$5:$D$1000="Paolo Cabantog Dacanay"))</f>
        <v>0</v>
      </c>
      <c r="F657" s="43" t="n">
        <f aca="false">SUMPRODUCT((MONTH('⚫ Confirmed Attrition'!$G$5:$G$1000)=4)*(YEAR('⚫ Confirmed Attrition'!$G$5:$G$1000)=2026)*('⚫ Confirmed Attrition'!$D$5:$D$1000="Paolo Cabantog Dacanay"))</f>
        <v>0</v>
      </c>
      <c r="G657" s="43" t="n">
        <f aca="false">SUMPRODUCT((MONTH('⚫ Confirmed Attrition'!$G$5:$G$1000)=5)*(YEAR('⚫ Confirmed Attrition'!$G$5:$G$1000)=2026)*('⚫ Confirmed Attrition'!$D$5:$D$1000="Paolo Cabantog Dacanay"))</f>
        <v>0</v>
      </c>
      <c r="H657" s="43" t="n">
        <f aca="false">SUMPRODUCT((MONTH('⚫ Confirmed Attrition'!$G$5:$G$1000)=6)*(YEAR('⚫ Confirmed Attrition'!$G$5:$G$1000)=2026)*('⚫ Confirmed Attrition'!$D$5:$D$1000="Paolo Cabantog Dacanay"))</f>
        <v>0</v>
      </c>
      <c r="I657" s="43" t="n">
        <f aca="false">SUMPRODUCT((MONTH('⚫ Confirmed Attrition'!$G$5:$G$1000)=7)*(YEAR('⚫ Confirmed Attrition'!$G$5:$G$1000)=2026)*('⚫ Confirmed Attrition'!$D$5:$D$1000="Paolo Cabantog Dacanay"))</f>
        <v>0</v>
      </c>
      <c r="J657" s="43" t="n">
        <f aca="false">SUMPRODUCT((MONTH('⚫ Confirmed Attrition'!$G$5:$G$1000)=8)*(YEAR('⚫ Confirmed Attrition'!$G$5:$G$1000)=2026)*('⚫ Confirmed Attrition'!$D$5:$D$1000="Paolo Cabantog Dacanay"))</f>
        <v>0</v>
      </c>
      <c r="K657" s="43" t="n">
        <f aca="false">SUMPRODUCT((MONTH('⚫ Confirmed Attrition'!$G$5:$G$1000)=9)*(YEAR('⚫ Confirmed Attrition'!$G$5:$G$1000)=2026)*('⚫ Confirmed Attrition'!$D$5:$D$1000="Paolo Cabantog Dacanay"))</f>
        <v>0</v>
      </c>
      <c r="L657" s="43" t="n">
        <f aca="false">SUMPRODUCT((MONTH('⚫ Confirmed Attrition'!$G$5:$G$1000)=10)*(YEAR('⚫ Confirmed Attrition'!$G$5:$G$1000)=2026)*('⚫ Confirmed Attrition'!$D$5:$D$1000="Paolo Cabantog Dacanay"))</f>
        <v>0</v>
      </c>
      <c r="M657" s="43" t="n">
        <f aca="false">SUMPRODUCT((MONTH('⚫ Confirmed Attrition'!$G$5:$G$1000)=11)*(YEAR('⚫ Confirmed Attrition'!$G$5:$G$1000)=2026)*('⚫ Confirmed Attrition'!$D$5:$D$1000="Paolo Cabantog Dacanay"))</f>
        <v>0</v>
      </c>
      <c r="N657" s="43" t="n">
        <f aca="false">SUMPRODUCT((MONTH('⚫ Confirmed Attrition'!$G$5:$G$1000)=12)*(YEAR('⚫ Confirmed Attrition'!$G$5:$G$1000)=2026)*('⚫ Confirmed Attrition'!$D$5:$D$1000="Paolo Cabantog Dacanay"))</f>
        <v>0</v>
      </c>
    </row>
    <row r="658" customFormat="false" ht="18" hidden="false" customHeight="true" outlineLevel="0" collapsed="false">
      <c r="B658" s="44" t="s">
        <v>85</v>
      </c>
      <c r="C658" s="45" t="n">
        <v>0</v>
      </c>
      <c r="D658" s="45" t="n">
        <v>0</v>
      </c>
      <c r="E658" s="45" t="n">
        <v>0</v>
      </c>
      <c r="F658" s="45" t="n">
        <v>0</v>
      </c>
      <c r="G658" s="45" t="n">
        <v>0</v>
      </c>
      <c r="H658" s="45" t="n">
        <v>0</v>
      </c>
      <c r="I658" s="45" t="n">
        <v>0</v>
      </c>
      <c r="J658" s="45" t="n">
        <v>0</v>
      </c>
      <c r="K658" s="45" t="n">
        <v>0</v>
      </c>
      <c r="L658" s="45" t="n">
        <v>0</v>
      </c>
      <c r="M658" s="45" t="n">
        <v>0</v>
      </c>
      <c r="N658" s="45" t="n">
        <v>0</v>
      </c>
    </row>
    <row r="659" customFormat="false" ht="18" hidden="false" customHeight="true" outlineLevel="0" collapsed="false">
      <c r="B659" s="44" t="s">
        <v>86</v>
      </c>
      <c r="C659" s="45" t="n">
        <v>0</v>
      </c>
      <c r="D659" s="45" t="n">
        <v>0</v>
      </c>
      <c r="E659" s="45" t="n">
        <v>0</v>
      </c>
      <c r="F659" s="45" t="n">
        <v>0</v>
      </c>
      <c r="G659" s="45" t="n">
        <v>0</v>
      </c>
      <c r="H659" s="45" t="n">
        <v>0</v>
      </c>
      <c r="I659" s="45" t="n">
        <v>0</v>
      </c>
      <c r="J659" s="45" t="n">
        <v>0</v>
      </c>
      <c r="K659" s="45" t="n">
        <v>0</v>
      </c>
      <c r="L659" s="45" t="n">
        <v>0</v>
      </c>
      <c r="M659" s="45" t="n">
        <v>0</v>
      </c>
      <c r="N659" s="45" t="n">
        <v>0</v>
      </c>
    </row>
    <row r="660" customFormat="false" ht="18" hidden="false" customHeight="true" outlineLevel="0" collapsed="false">
      <c r="B660" s="44" t="s">
        <v>87</v>
      </c>
      <c r="C660" s="45" t="n">
        <v>0</v>
      </c>
      <c r="D660" s="45" t="n">
        <v>0</v>
      </c>
      <c r="E660" s="45" t="n">
        <v>0</v>
      </c>
      <c r="F660" s="45" t="n">
        <v>0</v>
      </c>
      <c r="G660" s="45" t="n">
        <v>0</v>
      </c>
      <c r="H660" s="45" t="n">
        <v>0</v>
      </c>
      <c r="I660" s="45" t="n">
        <v>0</v>
      </c>
      <c r="J660" s="45" t="n">
        <v>0</v>
      </c>
      <c r="K660" s="45" t="n">
        <v>0</v>
      </c>
      <c r="L660" s="45" t="n">
        <v>0</v>
      </c>
      <c r="M660" s="45" t="n">
        <v>0</v>
      </c>
      <c r="N660" s="45" t="n">
        <v>0</v>
      </c>
    </row>
    <row r="661" customFormat="false" ht="18" hidden="false" customHeight="true" outlineLevel="0" collapsed="false">
      <c r="B661" s="36" t="s">
        <v>88</v>
      </c>
      <c r="C661" s="37" t="n">
        <v>4</v>
      </c>
      <c r="D661" s="37" t="n">
        <v>0</v>
      </c>
      <c r="E661" s="37" t="n">
        <v>0</v>
      </c>
      <c r="F661" s="37" t="n">
        <v>0</v>
      </c>
      <c r="G661" s="37" t="n">
        <v>0</v>
      </c>
      <c r="H661" s="37" t="n">
        <v>0</v>
      </c>
      <c r="I661" s="37" t="n">
        <v>0</v>
      </c>
      <c r="J661" s="37" t="n">
        <v>0</v>
      </c>
      <c r="K661" s="37" t="n">
        <v>0</v>
      </c>
      <c r="L661" s="37" t="n">
        <v>0</v>
      </c>
      <c r="M661" s="37" t="n">
        <v>0</v>
      </c>
      <c r="N661" s="37" t="n">
        <v>0</v>
      </c>
    </row>
    <row r="664" customFormat="false" ht="27.75" hidden="false" customHeight="true" outlineLevel="0" collapsed="false">
      <c r="B664" s="46" t="s">
        <v>131</v>
      </c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</row>
    <row r="665" customFormat="false" ht="3.75" hidden="false" customHeight="true" outlineLevel="0" collapsed="false"/>
    <row r="666" customFormat="false" ht="25.5" hidden="false" customHeight="true" outlineLevel="0" collapsed="false">
      <c r="B666" s="47" t="s">
        <v>54</v>
      </c>
      <c r="C666" s="47" t="s">
        <v>68</v>
      </c>
      <c r="D666" s="47" t="s">
        <v>69</v>
      </c>
      <c r="E666" s="47" t="s">
        <v>70</v>
      </c>
      <c r="F666" s="47" t="s">
        <v>71</v>
      </c>
      <c r="G666" s="47" t="s">
        <v>72</v>
      </c>
      <c r="H666" s="47" t="s">
        <v>73</v>
      </c>
      <c r="I666" s="47" t="s">
        <v>74</v>
      </c>
      <c r="J666" s="47" t="s">
        <v>75</v>
      </c>
      <c r="K666" s="47" t="s">
        <v>76</v>
      </c>
      <c r="L666" s="47" t="s">
        <v>77</v>
      </c>
      <c r="M666" s="47" t="s">
        <v>78</v>
      </c>
      <c r="N666" s="47" t="s">
        <v>79</v>
      </c>
    </row>
    <row r="667" customFormat="false" ht="18" hidden="false" customHeight="true" outlineLevel="0" collapsed="false">
      <c r="B667" s="36" t="s">
        <v>80</v>
      </c>
      <c r="C667" s="37" t="n">
        <v>18</v>
      </c>
      <c r="D667" s="37" t="n">
        <v>0</v>
      </c>
      <c r="E667" s="37" t="n">
        <v>0</v>
      </c>
      <c r="F667" s="37" t="n">
        <v>0</v>
      </c>
      <c r="G667" s="37" t="n">
        <v>0</v>
      </c>
      <c r="H667" s="37" t="n">
        <v>0</v>
      </c>
      <c r="I667" s="37" t="n">
        <v>0</v>
      </c>
      <c r="J667" s="37" t="n">
        <v>0</v>
      </c>
      <c r="K667" s="37" t="n">
        <v>0</v>
      </c>
      <c r="L667" s="37" t="n">
        <v>0</v>
      </c>
      <c r="M667" s="37" t="n">
        <v>0</v>
      </c>
      <c r="N667" s="37" t="n">
        <v>0</v>
      </c>
    </row>
    <row r="668" customFormat="false" ht="18" hidden="false" customHeight="true" outlineLevel="0" collapsed="false">
      <c r="B668" s="38" t="s">
        <v>81</v>
      </c>
      <c r="C668" s="39" t="n">
        <v>0</v>
      </c>
      <c r="D668" s="39" t="n">
        <v>0</v>
      </c>
      <c r="E668" s="39" t="n">
        <v>0</v>
      </c>
      <c r="F668" s="39" t="n">
        <v>0</v>
      </c>
      <c r="G668" s="39" t="n">
        <v>0</v>
      </c>
      <c r="H668" s="39" t="n">
        <v>0</v>
      </c>
      <c r="I668" s="39" t="n">
        <v>0</v>
      </c>
      <c r="J668" s="39" t="n">
        <v>0</v>
      </c>
      <c r="K668" s="39" t="n">
        <v>0</v>
      </c>
      <c r="L668" s="39" t="n">
        <v>0</v>
      </c>
      <c r="M668" s="39" t="n">
        <v>0</v>
      </c>
      <c r="N668" s="39" t="n">
        <v>0</v>
      </c>
    </row>
    <row r="669" customFormat="false" ht="18" hidden="false" customHeight="true" outlineLevel="0" collapsed="false">
      <c r="B669" s="40" t="s">
        <v>82</v>
      </c>
      <c r="C669" s="41" t="n">
        <v>0</v>
      </c>
      <c r="D669" s="41" t="n">
        <v>0</v>
      </c>
      <c r="E669" s="41" t="n">
        <v>0</v>
      </c>
      <c r="F669" s="41" t="n">
        <v>0</v>
      </c>
      <c r="G669" s="41" t="n">
        <v>0</v>
      </c>
      <c r="H669" s="41" t="n">
        <v>0</v>
      </c>
      <c r="I669" s="41" t="n">
        <v>0</v>
      </c>
      <c r="J669" s="41" t="n">
        <v>0</v>
      </c>
      <c r="K669" s="41" t="n">
        <v>0</v>
      </c>
      <c r="L669" s="41" t="n">
        <v>0</v>
      </c>
      <c r="M669" s="41" t="n">
        <v>0</v>
      </c>
      <c r="N669" s="41" t="n">
        <v>0</v>
      </c>
    </row>
    <row r="670" customFormat="false" ht="18" hidden="false" customHeight="true" outlineLevel="0" collapsed="false">
      <c r="B670" s="38" t="s">
        <v>83</v>
      </c>
      <c r="C670" s="39" t="n">
        <v>0</v>
      </c>
      <c r="D670" s="39" t="n">
        <v>0</v>
      </c>
      <c r="E670" s="39" t="n">
        <v>0</v>
      </c>
      <c r="F670" s="39" t="n">
        <v>0</v>
      </c>
      <c r="G670" s="39" t="n">
        <v>0</v>
      </c>
      <c r="H670" s="39" t="n">
        <v>0</v>
      </c>
      <c r="I670" s="39" t="n">
        <v>0</v>
      </c>
      <c r="J670" s="39" t="n">
        <v>0</v>
      </c>
      <c r="K670" s="39" t="n">
        <v>0</v>
      </c>
      <c r="L670" s="39" t="n">
        <v>0</v>
      </c>
      <c r="M670" s="39" t="n">
        <v>0</v>
      </c>
      <c r="N670" s="39" t="n">
        <v>0</v>
      </c>
    </row>
    <row r="671" customFormat="false" ht="18" hidden="false" customHeight="true" outlineLevel="0" collapsed="false">
      <c r="B671" s="42" t="s">
        <v>84</v>
      </c>
      <c r="C671" s="43" t="n">
        <f aca="false">SUMPRODUCT((MONTH('⚫ Confirmed Attrition'!$G$5:$G$1000)=1)*(YEAR('⚫ Confirmed Attrition'!$G$5:$G$1000)=2026)*('⚫ Confirmed Attrition'!$D$5:$D$1000="Rinagine Landiza Paurillo"))</f>
        <v>0</v>
      </c>
      <c r="D671" s="43" t="n">
        <f aca="false">SUMPRODUCT((MONTH('⚫ Confirmed Attrition'!$G$5:$G$1000)=2)*(YEAR('⚫ Confirmed Attrition'!$G$5:$G$1000)=2026)*('⚫ Confirmed Attrition'!$D$5:$D$1000="Rinagine Landiza Paurillo"))</f>
        <v>0</v>
      </c>
      <c r="E671" s="43" t="n">
        <f aca="false">SUMPRODUCT((MONTH('⚫ Confirmed Attrition'!$G$5:$G$1000)=3)*(YEAR('⚫ Confirmed Attrition'!$G$5:$G$1000)=2026)*('⚫ Confirmed Attrition'!$D$5:$D$1000="Rinagine Landiza Paurillo"))</f>
        <v>0</v>
      </c>
      <c r="F671" s="43" t="n">
        <f aca="false">SUMPRODUCT((MONTH('⚫ Confirmed Attrition'!$G$5:$G$1000)=4)*(YEAR('⚫ Confirmed Attrition'!$G$5:$G$1000)=2026)*('⚫ Confirmed Attrition'!$D$5:$D$1000="Rinagine Landiza Paurillo"))</f>
        <v>0</v>
      </c>
      <c r="G671" s="43" t="n">
        <f aca="false">SUMPRODUCT((MONTH('⚫ Confirmed Attrition'!$G$5:$G$1000)=5)*(YEAR('⚫ Confirmed Attrition'!$G$5:$G$1000)=2026)*('⚫ Confirmed Attrition'!$D$5:$D$1000="Rinagine Landiza Paurillo"))</f>
        <v>0</v>
      </c>
      <c r="H671" s="43" t="n">
        <f aca="false">SUMPRODUCT((MONTH('⚫ Confirmed Attrition'!$G$5:$G$1000)=6)*(YEAR('⚫ Confirmed Attrition'!$G$5:$G$1000)=2026)*('⚫ Confirmed Attrition'!$D$5:$D$1000="Rinagine Landiza Paurillo"))</f>
        <v>0</v>
      </c>
      <c r="I671" s="43" t="n">
        <f aca="false">SUMPRODUCT((MONTH('⚫ Confirmed Attrition'!$G$5:$G$1000)=7)*(YEAR('⚫ Confirmed Attrition'!$G$5:$G$1000)=2026)*('⚫ Confirmed Attrition'!$D$5:$D$1000="Rinagine Landiza Paurillo"))</f>
        <v>0</v>
      </c>
      <c r="J671" s="43" t="n">
        <f aca="false">SUMPRODUCT((MONTH('⚫ Confirmed Attrition'!$G$5:$G$1000)=8)*(YEAR('⚫ Confirmed Attrition'!$G$5:$G$1000)=2026)*('⚫ Confirmed Attrition'!$D$5:$D$1000="Rinagine Landiza Paurillo"))</f>
        <v>0</v>
      </c>
      <c r="K671" s="43" t="n">
        <f aca="false">SUMPRODUCT((MONTH('⚫ Confirmed Attrition'!$G$5:$G$1000)=9)*(YEAR('⚫ Confirmed Attrition'!$G$5:$G$1000)=2026)*('⚫ Confirmed Attrition'!$D$5:$D$1000="Rinagine Landiza Paurillo"))</f>
        <v>0</v>
      </c>
      <c r="L671" s="43" t="n">
        <f aca="false">SUMPRODUCT((MONTH('⚫ Confirmed Attrition'!$G$5:$G$1000)=10)*(YEAR('⚫ Confirmed Attrition'!$G$5:$G$1000)=2026)*('⚫ Confirmed Attrition'!$D$5:$D$1000="Rinagine Landiza Paurillo"))</f>
        <v>0</v>
      </c>
      <c r="M671" s="43" t="n">
        <f aca="false">SUMPRODUCT((MONTH('⚫ Confirmed Attrition'!$G$5:$G$1000)=11)*(YEAR('⚫ Confirmed Attrition'!$G$5:$G$1000)=2026)*('⚫ Confirmed Attrition'!$D$5:$D$1000="Rinagine Landiza Paurillo"))</f>
        <v>0</v>
      </c>
      <c r="N671" s="43" t="n">
        <f aca="false">SUMPRODUCT((MONTH('⚫ Confirmed Attrition'!$G$5:$G$1000)=12)*(YEAR('⚫ Confirmed Attrition'!$G$5:$G$1000)=2026)*('⚫ Confirmed Attrition'!$D$5:$D$1000="Rinagine Landiza Paurillo"))</f>
        <v>0</v>
      </c>
    </row>
    <row r="672" customFormat="false" ht="18" hidden="false" customHeight="true" outlineLevel="0" collapsed="false">
      <c r="B672" s="44" t="s">
        <v>85</v>
      </c>
      <c r="C672" s="45" t="n">
        <v>0</v>
      </c>
      <c r="D672" s="45" t="n">
        <v>0</v>
      </c>
      <c r="E672" s="45" t="n">
        <v>0</v>
      </c>
      <c r="F672" s="45" t="n">
        <v>0</v>
      </c>
      <c r="G672" s="45" t="n">
        <v>0</v>
      </c>
      <c r="H672" s="45" t="n">
        <v>0</v>
      </c>
      <c r="I672" s="45" t="n">
        <v>0</v>
      </c>
      <c r="J672" s="45" t="n">
        <v>0</v>
      </c>
      <c r="K672" s="45" t="n">
        <v>0</v>
      </c>
      <c r="L672" s="45" t="n">
        <v>0</v>
      </c>
      <c r="M672" s="45" t="n">
        <v>0</v>
      </c>
      <c r="N672" s="45" t="n">
        <v>0</v>
      </c>
    </row>
    <row r="673" customFormat="false" ht="18" hidden="false" customHeight="true" outlineLevel="0" collapsed="false">
      <c r="B673" s="44" t="s">
        <v>86</v>
      </c>
      <c r="C673" s="45" t="n">
        <v>0</v>
      </c>
      <c r="D673" s="45" t="n">
        <v>0</v>
      </c>
      <c r="E673" s="45" t="n">
        <v>0</v>
      </c>
      <c r="F673" s="45" t="n">
        <v>0</v>
      </c>
      <c r="G673" s="45" t="n">
        <v>0</v>
      </c>
      <c r="H673" s="45" t="n">
        <v>0</v>
      </c>
      <c r="I673" s="45" t="n">
        <v>0</v>
      </c>
      <c r="J673" s="45" t="n">
        <v>0</v>
      </c>
      <c r="K673" s="45" t="n">
        <v>0</v>
      </c>
      <c r="L673" s="45" t="n">
        <v>0</v>
      </c>
      <c r="M673" s="45" t="n">
        <v>0</v>
      </c>
      <c r="N673" s="45" t="n">
        <v>0</v>
      </c>
    </row>
    <row r="674" customFormat="false" ht="18" hidden="false" customHeight="true" outlineLevel="0" collapsed="false">
      <c r="B674" s="44" t="s">
        <v>87</v>
      </c>
      <c r="C674" s="45" t="n">
        <v>0</v>
      </c>
      <c r="D674" s="45" t="n">
        <v>0</v>
      </c>
      <c r="E674" s="45" t="n">
        <v>0</v>
      </c>
      <c r="F674" s="45" t="n">
        <v>0</v>
      </c>
      <c r="G674" s="45" t="n">
        <v>0</v>
      </c>
      <c r="H674" s="45" t="n">
        <v>0</v>
      </c>
      <c r="I674" s="45" t="n">
        <v>0</v>
      </c>
      <c r="J674" s="45" t="n">
        <v>0</v>
      </c>
      <c r="K674" s="45" t="n">
        <v>0</v>
      </c>
      <c r="L674" s="45" t="n">
        <v>0</v>
      </c>
      <c r="M674" s="45" t="n">
        <v>0</v>
      </c>
      <c r="N674" s="45" t="n">
        <v>0</v>
      </c>
    </row>
    <row r="675" customFormat="false" ht="18" hidden="false" customHeight="true" outlineLevel="0" collapsed="false">
      <c r="B675" s="36" t="s">
        <v>88</v>
      </c>
      <c r="C675" s="37" t="n">
        <v>18</v>
      </c>
      <c r="D675" s="37" t="n">
        <v>0</v>
      </c>
      <c r="E675" s="37" t="n">
        <v>0</v>
      </c>
      <c r="F675" s="37" t="n">
        <v>0</v>
      </c>
      <c r="G675" s="37" t="n">
        <v>0</v>
      </c>
      <c r="H675" s="37" t="n">
        <v>0</v>
      </c>
      <c r="I675" s="37" t="n">
        <v>0</v>
      </c>
      <c r="J675" s="37" t="n">
        <v>0</v>
      </c>
      <c r="K675" s="37" t="n">
        <v>0</v>
      </c>
      <c r="L675" s="37" t="n">
        <v>0</v>
      </c>
      <c r="M675" s="37" t="n">
        <v>0</v>
      </c>
      <c r="N675" s="37" t="n">
        <v>0</v>
      </c>
    </row>
    <row r="678" customFormat="false" ht="27.75" hidden="false" customHeight="true" outlineLevel="0" collapsed="false">
      <c r="B678" s="46" t="s">
        <v>132</v>
      </c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</row>
    <row r="679" customFormat="false" ht="3.75" hidden="false" customHeight="true" outlineLevel="0" collapsed="false"/>
    <row r="680" customFormat="false" ht="25.5" hidden="false" customHeight="true" outlineLevel="0" collapsed="false">
      <c r="B680" s="47" t="s">
        <v>55</v>
      </c>
      <c r="C680" s="47" t="s">
        <v>68</v>
      </c>
      <c r="D680" s="47" t="s">
        <v>69</v>
      </c>
      <c r="E680" s="47" t="s">
        <v>70</v>
      </c>
      <c r="F680" s="47" t="s">
        <v>71</v>
      </c>
      <c r="G680" s="47" t="s">
        <v>72</v>
      </c>
      <c r="H680" s="47" t="s">
        <v>73</v>
      </c>
      <c r="I680" s="47" t="s">
        <v>74</v>
      </c>
      <c r="J680" s="47" t="s">
        <v>75</v>
      </c>
      <c r="K680" s="47" t="s">
        <v>76</v>
      </c>
      <c r="L680" s="47" t="s">
        <v>77</v>
      </c>
      <c r="M680" s="47" t="s">
        <v>78</v>
      </c>
      <c r="N680" s="47" t="s">
        <v>79</v>
      </c>
    </row>
    <row r="681" customFormat="false" ht="18" hidden="false" customHeight="true" outlineLevel="0" collapsed="false">
      <c r="B681" s="36" t="s">
        <v>80</v>
      </c>
      <c r="C681" s="37" t="n">
        <v>15</v>
      </c>
      <c r="D681" s="37" t="n">
        <v>0</v>
      </c>
      <c r="E681" s="37" t="n">
        <v>0</v>
      </c>
      <c r="F681" s="37" t="n">
        <v>0</v>
      </c>
      <c r="G681" s="37" t="n">
        <v>0</v>
      </c>
      <c r="H681" s="37" t="n">
        <v>0</v>
      </c>
      <c r="I681" s="37" t="n">
        <v>0</v>
      </c>
      <c r="J681" s="37" t="n">
        <v>0</v>
      </c>
      <c r="K681" s="37" t="n">
        <v>0</v>
      </c>
      <c r="L681" s="37" t="n">
        <v>0</v>
      </c>
      <c r="M681" s="37" t="n">
        <v>0</v>
      </c>
      <c r="N681" s="37" t="n">
        <v>0</v>
      </c>
    </row>
    <row r="682" customFormat="false" ht="18" hidden="false" customHeight="true" outlineLevel="0" collapsed="false">
      <c r="B682" s="38" t="s">
        <v>81</v>
      </c>
      <c r="C682" s="39" t="n">
        <v>0</v>
      </c>
      <c r="D682" s="39" t="n">
        <v>0</v>
      </c>
      <c r="E682" s="39" t="n">
        <v>0</v>
      </c>
      <c r="F682" s="39" t="n">
        <v>0</v>
      </c>
      <c r="G682" s="39" t="n">
        <v>0</v>
      </c>
      <c r="H682" s="39" t="n">
        <v>0</v>
      </c>
      <c r="I682" s="39" t="n">
        <v>0</v>
      </c>
      <c r="J682" s="39" t="n">
        <v>0</v>
      </c>
      <c r="K682" s="39" t="n">
        <v>0</v>
      </c>
      <c r="L682" s="39" t="n">
        <v>0</v>
      </c>
      <c r="M682" s="39" t="n">
        <v>0</v>
      </c>
      <c r="N682" s="39" t="n">
        <v>0</v>
      </c>
    </row>
    <row r="683" customFormat="false" ht="18" hidden="false" customHeight="true" outlineLevel="0" collapsed="false">
      <c r="B683" s="40" t="s">
        <v>82</v>
      </c>
      <c r="C683" s="41" t="n">
        <v>0</v>
      </c>
      <c r="D683" s="41" t="n">
        <v>0</v>
      </c>
      <c r="E683" s="41" t="n">
        <v>0</v>
      </c>
      <c r="F683" s="41" t="n">
        <v>0</v>
      </c>
      <c r="G683" s="41" t="n">
        <v>0</v>
      </c>
      <c r="H683" s="41" t="n">
        <v>0</v>
      </c>
      <c r="I683" s="41" t="n">
        <v>0</v>
      </c>
      <c r="J683" s="41" t="n">
        <v>0</v>
      </c>
      <c r="K683" s="41" t="n">
        <v>0</v>
      </c>
      <c r="L683" s="41" t="n">
        <v>0</v>
      </c>
      <c r="M683" s="41" t="n">
        <v>0</v>
      </c>
      <c r="N683" s="41" t="n">
        <v>0</v>
      </c>
    </row>
    <row r="684" customFormat="false" ht="18" hidden="false" customHeight="true" outlineLevel="0" collapsed="false">
      <c r="B684" s="38" t="s">
        <v>83</v>
      </c>
      <c r="C684" s="39" t="n">
        <v>0</v>
      </c>
      <c r="D684" s="39" t="n">
        <v>0</v>
      </c>
      <c r="E684" s="39" t="n">
        <v>0</v>
      </c>
      <c r="F684" s="39" t="n">
        <v>0</v>
      </c>
      <c r="G684" s="39" t="n">
        <v>0</v>
      </c>
      <c r="H684" s="39" t="n">
        <v>0</v>
      </c>
      <c r="I684" s="39" t="n">
        <v>0</v>
      </c>
      <c r="J684" s="39" t="n">
        <v>0</v>
      </c>
      <c r="K684" s="39" t="n">
        <v>0</v>
      </c>
      <c r="L684" s="39" t="n">
        <v>0</v>
      </c>
      <c r="M684" s="39" t="n">
        <v>0</v>
      </c>
      <c r="N684" s="39" t="n">
        <v>0</v>
      </c>
    </row>
    <row r="685" customFormat="false" ht="18" hidden="false" customHeight="true" outlineLevel="0" collapsed="false">
      <c r="B685" s="42" t="s">
        <v>84</v>
      </c>
      <c r="C685" s="43" t="n">
        <f aca="false">SUMPRODUCT((MONTH('⚫ Confirmed Attrition'!$G$5:$G$1000)=1)*(YEAR('⚫ Confirmed Attrition'!$G$5:$G$1000)=2026)*('⚫ Confirmed Attrition'!$D$5:$D$1000="Robert Castillo Santos"))</f>
        <v>0</v>
      </c>
      <c r="D685" s="43" t="n">
        <f aca="false">SUMPRODUCT((MONTH('⚫ Confirmed Attrition'!$G$5:$G$1000)=2)*(YEAR('⚫ Confirmed Attrition'!$G$5:$G$1000)=2026)*('⚫ Confirmed Attrition'!$D$5:$D$1000="Robert Castillo Santos"))</f>
        <v>0</v>
      </c>
      <c r="E685" s="43" t="n">
        <f aca="false">SUMPRODUCT((MONTH('⚫ Confirmed Attrition'!$G$5:$G$1000)=3)*(YEAR('⚫ Confirmed Attrition'!$G$5:$G$1000)=2026)*('⚫ Confirmed Attrition'!$D$5:$D$1000="Robert Castillo Santos"))</f>
        <v>0</v>
      </c>
      <c r="F685" s="43" t="n">
        <f aca="false">SUMPRODUCT((MONTH('⚫ Confirmed Attrition'!$G$5:$G$1000)=4)*(YEAR('⚫ Confirmed Attrition'!$G$5:$G$1000)=2026)*('⚫ Confirmed Attrition'!$D$5:$D$1000="Robert Castillo Santos"))</f>
        <v>0</v>
      </c>
      <c r="G685" s="43" t="n">
        <f aca="false">SUMPRODUCT((MONTH('⚫ Confirmed Attrition'!$G$5:$G$1000)=5)*(YEAR('⚫ Confirmed Attrition'!$G$5:$G$1000)=2026)*('⚫ Confirmed Attrition'!$D$5:$D$1000="Robert Castillo Santos"))</f>
        <v>0</v>
      </c>
      <c r="H685" s="43" t="n">
        <f aca="false">SUMPRODUCT((MONTH('⚫ Confirmed Attrition'!$G$5:$G$1000)=6)*(YEAR('⚫ Confirmed Attrition'!$G$5:$G$1000)=2026)*('⚫ Confirmed Attrition'!$D$5:$D$1000="Robert Castillo Santos"))</f>
        <v>0</v>
      </c>
      <c r="I685" s="43" t="n">
        <f aca="false">SUMPRODUCT((MONTH('⚫ Confirmed Attrition'!$G$5:$G$1000)=7)*(YEAR('⚫ Confirmed Attrition'!$G$5:$G$1000)=2026)*('⚫ Confirmed Attrition'!$D$5:$D$1000="Robert Castillo Santos"))</f>
        <v>0</v>
      </c>
      <c r="J685" s="43" t="n">
        <f aca="false">SUMPRODUCT((MONTH('⚫ Confirmed Attrition'!$G$5:$G$1000)=8)*(YEAR('⚫ Confirmed Attrition'!$G$5:$G$1000)=2026)*('⚫ Confirmed Attrition'!$D$5:$D$1000="Robert Castillo Santos"))</f>
        <v>0</v>
      </c>
      <c r="K685" s="43" t="n">
        <f aca="false">SUMPRODUCT((MONTH('⚫ Confirmed Attrition'!$G$5:$G$1000)=9)*(YEAR('⚫ Confirmed Attrition'!$G$5:$G$1000)=2026)*('⚫ Confirmed Attrition'!$D$5:$D$1000="Robert Castillo Santos"))</f>
        <v>0</v>
      </c>
      <c r="L685" s="43" t="n">
        <f aca="false">SUMPRODUCT((MONTH('⚫ Confirmed Attrition'!$G$5:$G$1000)=10)*(YEAR('⚫ Confirmed Attrition'!$G$5:$G$1000)=2026)*('⚫ Confirmed Attrition'!$D$5:$D$1000="Robert Castillo Santos"))</f>
        <v>0</v>
      </c>
      <c r="M685" s="43" t="n">
        <f aca="false">SUMPRODUCT((MONTH('⚫ Confirmed Attrition'!$G$5:$G$1000)=11)*(YEAR('⚫ Confirmed Attrition'!$G$5:$G$1000)=2026)*('⚫ Confirmed Attrition'!$D$5:$D$1000="Robert Castillo Santos"))</f>
        <v>0</v>
      </c>
      <c r="N685" s="43" t="n">
        <f aca="false">SUMPRODUCT((MONTH('⚫ Confirmed Attrition'!$G$5:$G$1000)=12)*(YEAR('⚫ Confirmed Attrition'!$G$5:$G$1000)=2026)*('⚫ Confirmed Attrition'!$D$5:$D$1000="Robert Castillo Santos"))</f>
        <v>0</v>
      </c>
    </row>
    <row r="686" customFormat="false" ht="18" hidden="false" customHeight="true" outlineLevel="0" collapsed="false">
      <c r="B686" s="44" t="s">
        <v>85</v>
      </c>
      <c r="C686" s="45" t="n">
        <v>0</v>
      </c>
      <c r="D686" s="45" t="n">
        <v>0</v>
      </c>
      <c r="E686" s="45" t="n">
        <v>0</v>
      </c>
      <c r="F686" s="45" t="n">
        <v>0</v>
      </c>
      <c r="G686" s="45" t="n">
        <v>0</v>
      </c>
      <c r="H686" s="45" t="n">
        <v>0</v>
      </c>
      <c r="I686" s="45" t="n">
        <v>0</v>
      </c>
      <c r="J686" s="45" t="n">
        <v>0</v>
      </c>
      <c r="K686" s="45" t="n">
        <v>0</v>
      </c>
      <c r="L686" s="45" t="n">
        <v>0</v>
      </c>
      <c r="M686" s="45" t="n">
        <v>0</v>
      </c>
      <c r="N686" s="45" t="n">
        <v>0</v>
      </c>
    </row>
    <row r="687" customFormat="false" ht="18" hidden="false" customHeight="true" outlineLevel="0" collapsed="false">
      <c r="B687" s="44" t="s">
        <v>86</v>
      </c>
      <c r="C687" s="45" t="n">
        <v>0</v>
      </c>
      <c r="D687" s="45" t="n">
        <v>0</v>
      </c>
      <c r="E687" s="45" t="n">
        <v>0</v>
      </c>
      <c r="F687" s="45" t="n">
        <v>0</v>
      </c>
      <c r="G687" s="45" t="n">
        <v>0</v>
      </c>
      <c r="H687" s="45" t="n">
        <v>0</v>
      </c>
      <c r="I687" s="45" t="n">
        <v>0</v>
      </c>
      <c r="J687" s="45" t="n">
        <v>0</v>
      </c>
      <c r="K687" s="45" t="n">
        <v>0</v>
      </c>
      <c r="L687" s="45" t="n">
        <v>0</v>
      </c>
      <c r="M687" s="45" t="n">
        <v>0</v>
      </c>
      <c r="N687" s="45" t="n">
        <v>0</v>
      </c>
    </row>
    <row r="688" customFormat="false" ht="18" hidden="false" customHeight="true" outlineLevel="0" collapsed="false">
      <c r="B688" s="44" t="s">
        <v>87</v>
      </c>
      <c r="C688" s="45" t="n">
        <v>0</v>
      </c>
      <c r="D688" s="45" t="n">
        <v>0</v>
      </c>
      <c r="E688" s="45" t="n">
        <v>0</v>
      </c>
      <c r="F688" s="45" t="n">
        <v>0</v>
      </c>
      <c r="G688" s="45" t="n">
        <v>0</v>
      </c>
      <c r="H688" s="45" t="n">
        <v>0</v>
      </c>
      <c r="I688" s="45" t="n">
        <v>0</v>
      </c>
      <c r="J688" s="45" t="n">
        <v>0</v>
      </c>
      <c r="K688" s="45" t="n">
        <v>0</v>
      </c>
      <c r="L688" s="45" t="n">
        <v>0</v>
      </c>
      <c r="M688" s="45" t="n">
        <v>0</v>
      </c>
      <c r="N688" s="45" t="n">
        <v>0</v>
      </c>
    </row>
    <row r="689" customFormat="false" ht="18" hidden="false" customHeight="true" outlineLevel="0" collapsed="false">
      <c r="B689" s="36" t="s">
        <v>88</v>
      </c>
      <c r="C689" s="37" t="n">
        <v>15</v>
      </c>
      <c r="D689" s="37" t="n">
        <v>0</v>
      </c>
      <c r="E689" s="37" t="n">
        <v>0</v>
      </c>
      <c r="F689" s="37" t="n">
        <v>0</v>
      </c>
      <c r="G689" s="37" t="n">
        <v>0</v>
      </c>
      <c r="H689" s="37" t="n">
        <v>0</v>
      </c>
      <c r="I689" s="37" t="n">
        <v>0</v>
      </c>
      <c r="J689" s="37" t="n">
        <v>0</v>
      </c>
      <c r="K689" s="37" t="n">
        <v>0</v>
      </c>
      <c r="L689" s="37" t="n">
        <v>0</v>
      </c>
      <c r="M689" s="37" t="n">
        <v>0</v>
      </c>
      <c r="N689" s="37" t="n">
        <v>0</v>
      </c>
    </row>
    <row r="692" customFormat="false" ht="27.75" hidden="false" customHeight="true" outlineLevel="0" collapsed="false">
      <c r="B692" s="46" t="s">
        <v>133</v>
      </c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</row>
    <row r="693" customFormat="false" ht="3.75" hidden="false" customHeight="true" outlineLevel="0" collapsed="false"/>
    <row r="694" customFormat="false" ht="25.5" hidden="false" customHeight="true" outlineLevel="0" collapsed="false">
      <c r="B694" s="47" t="s">
        <v>56</v>
      </c>
      <c r="C694" s="47" t="s">
        <v>68</v>
      </c>
      <c r="D694" s="47" t="s">
        <v>69</v>
      </c>
      <c r="E694" s="47" t="s">
        <v>70</v>
      </c>
      <c r="F694" s="47" t="s">
        <v>71</v>
      </c>
      <c r="G694" s="47" t="s">
        <v>72</v>
      </c>
      <c r="H694" s="47" t="s">
        <v>73</v>
      </c>
      <c r="I694" s="47" t="s">
        <v>74</v>
      </c>
      <c r="J694" s="47" t="s">
        <v>75</v>
      </c>
      <c r="K694" s="47" t="s">
        <v>76</v>
      </c>
      <c r="L694" s="47" t="s">
        <v>77</v>
      </c>
      <c r="M694" s="47" t="s">
        <v>78</v>
      </c>
      <c r="N694" s="47" t="s">
        <v>79</v>
      </c>
    </row>
    <row r="695" customFormat="false" ht="18" hidden="false" customHeight="true" outlineLevel="0" collapsed="false">
      <c r="B695" s="36" t="s">
        <v>80</v>
      </c>
      <c r="C695" s="37" t="n">
        <v>4</v>
      </c>
      <c r="D695" s="37" t="n">
        <v>0</v>
      </c>
      <c r="E695" s="37" t="n">
        <v>0</v>
      </c>
      <c r="F695" s="37" t="n">
        <v>0</v>
      </c>
      <c r="G695" s="37" t="n">
        <v>0</v>
      </c>
      <c r="H695" s="37" t="n">
        <v>0</v>
      </c>
      <c r="I695" s="37" t="n">
        <v>0</v>
      </c>
      <c r="J695" s="37" t="n">
        <v>0</v>
      </c>
      <c r="K695" s="37" t="n">
        <v>0</v>
      </c>
      <c r="L695" s="37" t="n">
        <v>0</v>
      </c>
      <c r="M695" s="37" t="n">
        <v>0</v>
      </c>
      <c r="N695" s="37" t="n">
        <v>0</v>
      </c>
    </row>
    <row r="696" customFormat="false" ht="18" hidden="false" customHeight="true" outlineLevel="0" collapsed="false">
      <c r="B696" s="38" t="s">
        <v>81</v>
      </c>
      <c r="C696" s="39" t="n">
        <v>0</v>
      </c>
      <c r="D696" s="39" t="n">
        <v>0</v>
      </c>
      <c r="E696" s="39" t="n">
        <v>0</v>
      </c>
      <c r="F696" s="39" t="n">
        <v>0</v>
      </c>
      <c r="G696" s="39" t="n">
        <v>0</v>
      </c>
      <c r="H696" s="39" t="n">
        <v>0</v>
      </c>
      <c r="I696" s="39" t="n">
        <v>0</v>
      </c>
      <c r="J696" s="39" t="n">
        <v>0</v>
      </c>
      <c r="K696" s="39" t="n">
        <v>0</v>
      </c>
      <c r="L696" s="39" t="n">
        <v>0</v>
      </c>
      <c r="M696" s="39" t="n">
        <v>0</v>
      </c>
      <c r="N696" s="39" t="n">
        <v>0</v>
      </c>
    </row>
    <row r="697" customFormat="false" ht="18" hidden="false" customHeight="true" outlineLevel="0" collapsed="false">
      <c r="B697" s="40" t="s">
        <v>82</v>
      </c>
      <c r="C697" s="41" t="n">
        <v>0</v>
      </c>
      <c r="D697" s="41" t="n">
        <v>0</v>
      </c>
      <c r="E697" s="41" t="n">
        <v>0</v>
      </c>
      <c r="F697" s="41" t="n">
        <v>0</v>
      </c>
      <c r="G697" s="41" t="n">
        <v>0</v>
      </c>
      <c r="H697" s="41" t="n">
        <v>0</v>
      </c>
      <c r="I697" s="41" t="n">
        <v>0</v>
      </c>
      <c r="J697" s="41" t="n">
        <v>0</v>
      </c>
      <c r="K697" s="41" t="n">
        <v>0</v>
      </c>
      <c r="L697" s="41" t="n">
        <v>0</v>
      </c>
      <c r="M697" s="41" t="n">
        <v>0</v>
      </c>
      <c r="N697" s="41" t="n">
        <v>0</v>
      </c>
    </row>
    <row r="698" customFormat="false" ht="18" hidden="false" customHeight="true" outlineLevel="0" collapsed="false">
      <c r="B698" s="38" t="s">
        <v>83</v>
      </c>
      <c r="C698" s="39" t="n">
        <v>0</v>
      </c>
      <c r="D698" s="39" t="n">
        <v>0</v>
      </c>
      <c r="E698" s="39" t="n">
        <v>0</v>
      </c>
      <c r="F698" s="39" t="n">
        <v>0</v>
      </c>
      <c r="G698" s="39" t="n">
        <v>0</v>
      </c>
      <c r="H698" s="39" t="n">
        <v>0</v>
      </c>
      <c r="I698" s="39" t="n">
        <v>0</v>
      </c>
      <c r="J698" s="39" t="n">
        <v>0</v>
      </c>
      <c r="K698" s="39" t="n">
        <v>0</v>
      </c>
      <c r="L698" s="39" t="n">
        <v>0</v>
      </c>
      <c r="M698" s="39" t="n">
        <v>0</v>
      </c>
      <c r="N698" s="39" t="n">
        <v>0</v>
      </c>
    </row>
    <row r="699" customFormat="false" ht="18" hidden="false" customHeight="true" outlineLevel="0" collapsed="false">
      <c r="B699" s="42" t="s">
        <v>84</v>
      </c>
      <c r="C699" s="43" t="n">
        <f aca="false">SUMPRODUCT((MONTH('⚫ Confirmed Attrition'!$G$5:$G$1000)=1)*(YEAR('⚫ Confirmed Attrition'!$G$5:$G$1000)=2026)*('⚫ Confirmed Attrition'!$D$5:$D$1000="Rosauro Gabo Misayah"))</f>
        <v>0</v>
      </c>
      <c r="D699" s="43" t="n">
        <f aca="false">SUMPRODUCT((MONTH('⚫ Confirmed Attrition'!$G$5:$G$1000)=2)*(YEAR('⚫ Confirmed Attrition'!$G$5:$G$1000)=2026)*('⚫ Confirmed Attrition'!$D$5:$D$1000="Rosauro Gabo Misayah"))</f>
        <v>0</v>
      </c>
      <c r="E699" s="43" t="n">
        <f aca="false">SUMPRODUCT((MONTH('⚫ Confirmed Attrition'!$G$5:$G$1000)=3)*(YEAR('⚫ Confirmed Attrition'!$G$5:$G$1000)=2026)*('⚫ Confirmed Attrition'!$D$5:$D$1000="Rosauro Gabo Misayah"))</f>
        <v>0</v>
      </c>
      <c r="F699" s="43" t="n">
        <f aca="false">SUMPRODUCT((MONTH('⚫ Confirmed Attrition'!$G$5:$G$1000)=4)*(YEAR('⚫ Confirmed Attrition'!$G$5:$G$1000)=2026)*('⚫ Confirmed Attrition'!$D$5:$D$1000="Rosauro Gabo Misayah"))</f>
        <v>0</v>
      </c>
      <c r="G699" s="43" t="n">
        <f aca="false">SUMPRODUCT((MONTH('⚫ Confirmed Attrition'!$G$5:$G$1000)=5)*(YEAR('⚫ Confirmed Attrition'!$G$5:$G$1000)=2026)*('⚫ Confirmed Attrition'!$D$5:$D$1000="Rosauro Gabo Misayah"))</f>
        <v>0</v>
      </c>
      <c r="H699" s="43" t="n">
        <f aca="false">SUMPRODUCT((MONTH('⚫ Confirmed Attrition'!$G$5:$G$1000)=6)*(YEAR('⚫ Confirmed Attrition'!$G$5:$G$1000)=2026)*('⚫ Confirmed Attrition'!$D$5:$D$1000="Rosauro Gabo Misayah"))</f>
        <v>0</v>
      </c>
      <c r="I699" s="43" t="n">
        <f aca="false">SUMPRODUCT((MONTH('⚫ Confirmed Attrition'!$G$5:$G$1000)=7)*(YEAR('⚫ Confirmed Attrition'!$G$5:$G$1000)=2026)*('⚫ Confirmed Attrition'!$D$5:$D$1000="Rosauro Gabo Misayah"))</f>
        <v>0</v>
      </c>
      <c r="J699" s="43" t="n">
        <f aca="false">SUMPRODUCT((MONTH('⚫ Confirmed Attrition'!$G$5:$G$1000)=8)*(YEAR('⚫ Confirmed Attrition'!$G$5:$G$1000)=2026)*('⚫ Confirmed Attrition'!$D$5:$D$1000="Rosauro Gabo Misayah"))</f>
        <v>0</v>
      </c>
      <c r="K699" s="43" t="n">
        <f aca="false">SUMPRODUCT((MONTH('⚫ Confirmed Attrition'!$G$5:$G$1000)=9)*(YEAR('⚫ Confirmed Attrition'!$G$5:$G$1000)=2026)*('⚫ Confirmed Attrition'!$D$5:$D$1000="Rosauro Gabo Misayah"))</f>
        <v>0</v>
      </c>
      <c r="L699" s="43" t="n">
        <f aca="false">SUMPRODUCT((MONTH('⚫ Confirmed Attrition'!$G$5:$G$1000)=10)*(YEAR('⚫ Confirmed Attrition'!$G$5:$G$1000)=2026)*('⚫ Confirmed Attrition'!$D$5:$D$1000="Rosauro Gabo Misayah"))</f>
        <v>0</v>
      </c>
      <c r="M699" s="43" t="n">
        <f aca="false">SUMPRODUCT((MONTH('⚫ Confirmed Attrition'!$G$5:$G$1000)=11)*(YEAR('⚫ Confirmed Attrition'!$G$5:$G$1000)=2026)*('⚫ Confirmed Attrition'!$D$5:$D$1000="Rosauro Gabo Misayah"))</f>
        <v>0</v>
      </c>
      <c r="N699" s="43" t="n">
        <f aca="false">SUMPRODUCT((MONTH('⚫ Confirmed Attrition'!$G$5:$G$1000)=12)*(YEAR('⚫ Confirmed Attrition'!$G$5:$G$1000)=2026)*('⚫ Confirmed Attrition'!$D$5:$D$1000="Rosauro Gabo Misayah"))</f>
        <v>0</v>
      </c>
    </row>
    <row r="700" customFormat="false" ht="18" hidden="false" customHeight="true" outlineLevel="0" collapsed="false">
      <c r="B700" s="44" t="s">
        <v>85</v>
      </c>
      <c r="C700" s="45" t="n">
        <v>0</v>
      </c>
      <c r="D700" s="45" t="n">
        <v>0</v>
      </c>
      <c r="E700" s="45" t="n">
        <v>0</v>
      </c>
      <c r="F700" s="45" t="n">
        <v>0</v>
      </c>
      <c r="G700" s="45" t="n">
        <v>0</v>
      </c>
      <c r="H700" s="45" t="n">
        <v>0</v>
      </c>
      <c r="I700" s="45" t="n">
        <v>0</v>
      </c>
      <c r="J700" s="45" t="n">
        <v>0</v>
      </c>
      <c r="K700" s="45" t="n">
        <v>0</v>
      </c>
      <c r="L700" s="45" t="n">
        <v>0</v>
      </c>
      <c r="M700" s="45" t="n">
        <v>0</v>
      </c>
      <c r="N700" s="45" t="n">
        <v>0</v>
      </c>
    </row>
    <row r="701" customFormat="false" ht="18" hidden="false" customHeight="true" outlineLevel="0" collapsed="false">
      <c r="B701" s="44" t="s">
        <v>86</v>
      </c>
      <c r="C701" s="45" t="n">
        <v>0</v>
      </c>
      <c r="D701" s="45" t="n">
        <v>0</v>
      </c>
      <c r="E701" s="45" t="n">
        <v>0</v>
      </c>
      <c r="F701" s="45" t="n">
        <v>0</v>
      </c>
      <c r="G701" s="45" t="n">
        <v>0</v>
      </c>
      <c r="H701" s="45" t="n">
        <v>0</v>
      </c>
      <c r="I701" s="45" t="n">
        <v>0</v>
      </c>
      <c r="J701" s="45" t="n">
        <v>0</v>
      </c>
      <c r="K701" s="45" t="n">
        <v>0</v>
      </c>
      <c r="L701" s="45" t="n">
        <v>0</v>
      </c>
      <c r="M701" s="45" t="n">
        <v>0</v>
      </c>
      <c r="N701" s="45" t="n">
        <v>0</v>
      </c>
    </row>
    <row r="702" customFormat="false" ht="18" hidden="false" customHeight="true" outlineLevel="0" collapsed="false">
      <c r="B702" s="44" t="s">
        <v>87</v>
      </c>
      <c r="C702" s="45" t="n">
        <v>0</v>
      </c>
      <c r="D702" s="45" t="n">
        <v>0</v>
      </c>
      <c r="E702" s="45" t="n">
        <v>0</v>
      </c>
      <c r="F702" s="45" t="n">
        <v>0</v>
      </c>
      <c r="G702" s="45" t="n">
        <v>0</v>
      </c>
      <c r="H702" s="45" t="n">
        <v>0</v>
      </c>
      <c r="I702" s="45" t="n">
        <v>0</v>
      </c>
      <c r="J702" s="45" t="n">
        <v>0</v>
      </c>
      <c r="K702" s="45" t="n">
        <v>0</v>
      </c>
      <c r="L702" s="45" t="n">
        <v>0</v>
      </c>
      <c r="M702" s="45" t="n">
        <v>0</v>
      </c>
      <c r="N702" s="45" t="n">
        <v>0</v>
      </c>
    </row>
    <row r="703" customFormat="false" ht="18" hidden="false" customHeight="true" outlineLevel="0" collapsed="false">
      <c r="B703" s="36" t="s">
        <v>88</v>
      </c>
      <c r="C703" s="37" t="n">
        <v>4</v>
      </c>
      <c r="D703" s="37" t="n">
        <v>0</v>
      </c>
      <c r="E703" s="37" t="n">
        <v>0</v>
      </c>
      <c r="F703" s="37" t="n">
        <v>0</v>
      </c>
      <c r="G703" s="37" t="n">
        <v>0</v>
      </c>
      <c r="H703" s="37" t="n">
        <v>0</v>
      </c>
      <c r="I703" s="37" t="n">
        <v>0</v>
      </c>
      <c r="J703" s="37" t="n">
        <v>0</v>
      </c>
      <c r="K703" s="37" t="n">
        <v>0</v>
      </c>
      <c r="L703" s="37" t="n">
        <v>0</v>
      </c>
      <c r="M703" s="37" t="n">
        <v>0</v>
      </c>
      <c r="N703" s="37" t="n">
        <v>0</v>
      </c>
    </row>
    <row r="706" customFormat="false" ht="27.75" hidden="false" customHeight="true" outlineLevel="0" collapsed="false">
      <c r="B706" s="46" t="s">
        <v>134</v>
      </c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</row>
    <row r="707" customFormat="false" ht="3.75" hidden="false" customHeight="true" outlineLevel="0" collapsed="false"/>
    <row r="708" customFormat="false" ht="25.5" hidden="false" customHeight="true" outlineLevel="0" collapsed="false">
      <c r="B708" s="47" t="s">
        <v>57</v>
      </c>
      <c r="C708" s="47" t="s">
        <v>68</v>
      </c>
      <c r="D708" s="47" t="s">
        <v>69</v>
      </c>
      <c r="E708" s="47" t="s">
        <v>70</v>
      </c>
      <c r="F708" s="47" t="s">
        <v>71</v>
      </c>
      <c r="G708" s="47" t="s">
        <v>72</v>
      </c>
      <c r="H708" s="47" t="s">
        <v>73</v>
      </c>
      <c r="I708" s="47" t="s">
        <v>74</v>
      </c>
      <c r="J708" s="47" t="s">
        <v>75</v>
      </c>
      <c r="K708" s="47" t="s">
        <v>76</v>
      </c>
      <c r="L708" s="47" t="s">
        <v>77</v>
      </c>
      <c r="M708" s="47" t="s">
        <v>78</v>
      </c>
      <c r="N708" s="47" t="s">
        <v>79</v>
      </c>
    </row>
    <row r="709" customFormat="false" ht="18" hidden="false" customHeight="true" outlineLevel="0" collapsed="false">
      <c r="B709" s="36" t="s">
        <v>80</v>
      </c>
      <c r="C709" s="37" t="n">
        <v>19</v>
      </c>
      <c r="D709" s="37" t="n">
        <v>0</v>
      </c>
      <c r="E709" s="37" t="n">
        <v>0</v>
      </c>
      <c r="F709" s="37" t="n">
        <v>0</v>
      </c>
      <c r="G709" s="37" t="n">
        <v>0</v>
      </c>
      <c r="H709" s="37" t="n">
        <v>0</v>
      </c>
      <c r="I709" s="37" t="n">
        <v>0</v>
      </c>
      <c r="J709" s="37" t="n">
        <v>0</v>
      </c>
      <c r="K709" s="37" t="n">
        <v>0</v>
      </c>
      <c r="L709" s="37" t="n">
        <v>0</v>
      </c>
      <c r="M709" s="37" t="n">
        <v>0</v>
      </c>
      <c r="N709" s="37" t="n">
        <v>0</v>
      </c>
    </row>
    <row r="710" customFormat="false" ht="18" hidden="false" customHeight="true" outlineLevel="0" collapsed="false">
      <c r="B710" s="38" t="s">
        <v>81</v>
      </c>
      <c r="C710" s="39" t="n">
        <v>0</v>
      </c>
      <c r="D710" s="39" t="n">
        <v>0</v>
      </c>
      <c r="E710" s="39" t="n">
        <v>0</v>
      </c>
      <c r="F710" s="39" t="n">
        <v>0</v>
      </c>
      <c r="G710" s="39" t="n">
        <v>0</v>
      </c>
      <c r="H710" s="39" t="n">
        <v>0</v>
      </c>
      <c r="I710" s="39" t="n">
        <v>0</v>
      </c>
      <c r="J710" s="39" t="n">
        <v>0</v>
      </c>
      <c r="K710" s="39" t="n">
        <v>0</v>
      </c>
      <c r="L710" s="39" t="n">
        <v>0</v>
      </c>
      <c r="M710" s="39" t="n">
        <v>0</v>
      </c>
      <c r="N710" s="39" t="n">
        <v>0</v>
      </c>
    </row>
    <row r="711" customFormat="false" ht="18" hidden="false" customHeight="true" outlineLevel="0" collapsed="false">
      <c r="B711" s="40" t="s">
        <v>82</v>
      </c>
      <c r="C711" s="41" t="n">
        <v>0</v>
      </c>
      <c r="D711" s="41" t="n">
        <v>0</v>
      </c>
      <c r="E711" s="41" t="n">
        <v>0</v>
      </c>
      <c r="F711" s="41" t="n">
        <v>0</v>
      </c>
      <c r="G711" s="41" t="n">
        <v>0</v>
      </c>
      <c r="H711" s="41" t="n">
        <v>0</v>
      </c>
      <c r="I711" s="41" t="n">
        <v>0</v>
      </c>
      <c r="J711" s="41" t="n">
        <v>0</v>
      </c>
      <c r="K711" s="41" t="n">
        <v>0</v>
      </c>
      <c r="L711" s="41" t="n">
        <v>0</v>
      </c>
      <c r="M711" s="41" t="n">
        <v>0</v>
      </c>
      <c r="N711" s="41" t="n">
        <v>0</v>
      </c>
    </row>
    <row r="712" customFormat="false" ht="18" hidden="false" customHeight="true" outlineLevel="0" collapsed="false">
      <c r="B712" s="38" t="s">
        <v>83</v>
      </c>
      <c r="C712" s="39" t="n">
        <v>0</v>
      </c>
      <c r="D712" s="39" t="n">
        <v>0</v>
      </c>
      <c r="E712" s="39" t="n">
        <v>0</v>
      </c>
      <c r="F712" s="39" t="n">
        <v>0</v>
      </c>
      <c r="G712" s="39" t="n">
        <v>0</v>
      </c>
      <c r="H712" s="39" t="n">
        <v>0</v>
      </c>
      <c r="I712" s="39" t="n">
        <v>0</v>
      </c>
      <c r="J712" s="39" t="n">
        <v>0</v>
      </c>
      <c r="K712" s="39" t="n">
        <v>0</v>
      </c>
      <c r="L712" s="39" t="n">
        <v>0</v>
      </c>
      <c r="M712" s="39" t="n">
        <v>0</v>
      </c>
      <c r="N712" s="39" t="n">
        <v>0</v>
      </c>
    </row>
    <row r="713" customFormat="false" ht="18" hidden="false" customHeight="true" outlineLevel="0" collapsed="false">
      <c r="B713" s="42" t="s">
        <v>84</v>
      </c>
      <c r="C713" s="43" t="n">
        <f aca="false">SUMPRODUCT((MONTH('⚫ Confirmed Attrition'!$G$5:$G$1000)=1)*(YEAR('⚫ Confirmed Attrition'!$G$5:$G$1000)=2026)*('⚫ Confirmed Attrition'!$D$5:$D$1000="Sheena Estorba Lucresia"))</f>
        <v>0</v>
      </c>
      <c r="D713" s="43" t="n">
        <f aca="false">SUMPRODUCT((MONTH('⚫ Confirmed Attrition'!$G$5:$G$1000)=2)*(YEAR('⚫ Confirmed Attrition'!$G$5:$G$1000)=2026)*('⚫ Confirmed Attrition'!$D$5:$D$1000="Sheena Estorba Lucresia"))</f>
        <v>0</v>
      </c>
      <c r="E713" s="43" t="n">
        <f aca="false">SUMPRODUCT((MONTH('⚫ Confirmed Attrition'!$G$5:$G$1000)=3)*(YEAR('⚫ Confirmed Attrition'!$G$5:$G$1000)=2026)*('⚫ Confirmed Attrition'!$D$5:$D$1000="Sheena Estorba Lucresia"))</f>
        <v>0</v>
      </c>
      <c r="F713" s="43" t="n">
        <f aca="false">SUMPRODUCT((MONTH('⚫ Confirmed Attrition'!$G$5:$G$1000)=4)*(YEAR('⚫ Confirmed Attrition'!$G$5:$G$1000)=2026)*('⚫ Confirmed Attrition'!$D$5:$D$1000="Sheena Estorba Lucresia"))</f>
        <v>0</v>
      </c>
      <c r="G713" s="43" t="n">
        <f aca="false">SUMPRODUCT((MONTH('⚫ Confirmed Attrition'!$G$5:$G$1000)=5)*(YEAR('⚫ Confirmed Attrition'!$G$5:$G$1000)=2026)*('⚫ Confirmed Attrition'!$D$5:$D$1000="Sheena Estorba Lucresia"))</f>
        <v>0</v>
      </c>
      <c r="H713" s="43" t="n">
        <f aca="false">SUMPRODUCT((MONTH('⚫ Confirmed Attrition'!$G$5:$G$1000)=6)*(YEAR('⚫ Confirmed Attrition'!$G$5:$G$1000)=2026)*('⚫ Confirmed Attrition'!$D$5:$D$1000="Sheena Estorba Lucresia"))</f>
        <v>0</v>
      </c>
      <c r="I713" s="43" t="n">
        <f aca="false">SUMPRODUCT((MONTH('⚫ Confirmed Attrition'!$G$5:$G$1000)=7)*(YEAR('⚫ Confirmed Attrition'!$G$5:$G$1000)=2026)*('⚫ Confirmed Attrition'!$D$5:$D$1000="Sheena Estorba Lucresia"))</f>
        <v>0</v>
      </c>
      <c r="J713" s="43" t="n">
        <f aca="false">SUMPRODUCT((MONTH('⚫ Confirmed Attrition'!$G$5:$G$1000)=8)*(YEAR('⚫ Confirmed Attrition'!$G$5:$G$1000)=2026)*('⚫ Confirmed Attrition'!$D$5:$D$1000="Sheena Estorba Lucresia"))</f>
        <v>0</v>
      </c>
      <c r="K713" s="43" t="n">
        <f aca="false">SUMPRODUCT((MONTH('⚫ Confirmed Attrition'!$G$5:$G$1000)=9)*(YEAR('⚫ Confirmed Attrition'!$G$5:$G$1000)=2026)*('⚫ Confirmed Attrition'!$D$5:$D$1000="Sheena Estorba Lucresia"))</f>
        <v>0</v>
      </c>
      <c r="L713" s="43" t="n">
        <f aca="false">SUMPRODUCT((MONTH('⚫ Confirmed Attrition'!$G$5:$G$1000)=10)*(YEAR('⚫ Confirmed Attrition'!$G$5:$G$1000)=2026)*('⚫ Confirmed Attrition'!$D$5:$D$1000="Sheena Estorba Lucresia"))</f>
        <v>0</v>
      </c>
      <c r="M713" s="43" t="n">
        <f aca="false">SUMPRODUCT((MONTH('⚫ Confirmed Attrition'!$G$5:$G$1000)=11)*(YEAR('⚫ Confirmed Attrition'!$G$5:$G$1000)=2026)*('⚫ Confirmed Attrition'!$D$5:$D$1000="Sheena Estorba Lucresia"))</f>
        <v>0</v>
      </c>
      <c r="N713" s="43" t="n">
        <f aca="false">SUMPRODUCT((MONTH('⚫ Confirmed Attrition'!$G$5:$G$1000)=12)*(YEAR('⚫ Confirmed Attrition'!$G$5:$G$1000)=2026)*('⚫ Confirmed Attrition'!$D$5:$D$1000="Sheena Estorba Lucresia"))</f>
        <v>0</v>
      </c>
    </row>
    <row r="714" customFormat="false" ht="18" hidden="false" customHeight="true" outlineLevel="0" collapsed="false">
      <c r="B714" s="44" t="s">
        <v>85</v>
      </c>
      <c r="C714" s="45" t="n">
        <v>0</v>
      </c>
      <c r="D714" s="45" t="n">
        <v>0</v>
      </c>
      <c r="E714" s="45" t="n">
        <v>0</v>
      </c>
      <c r="F714" s="45" t="n">
        <v>0</v>
      </c>
      <c r="G714" s="45" t="n">
        <v>0</v>
      </c>
      <c r="H714" s="45" t="n">
        <v>0</v>
      </c>
      <c r="I714" s="45" t="n">
        <v>0</v>
      </c>
      <c r="J714" s="45" t="n">
        <v>0</v>
      </c>
      <c r="K714" s="45" t="n">
        <v>0</v>
      </c>
      <c r="L714" s="45" t="n">
        <v>0</v>
      </c>
      <c r="M714" s="45" t="n">
        <v>0</v>
      </c>
      <c r="N714" s="45" t="n">
        <v>0</v>
      </c>
    </row>
    <row r="715" customFormat="false" ht="18" hidden="false" customHeight="true" outlineLevel="0" collapsed="false">
      <c r="B715" s="44" t="s">
        <v>86</v>
      </c>
      <c r="C715" s="45" t="n">
        <v>0</v>
      </c>
      <c r="D715" s="45" t="n">
        <v>0</v>
      </c>
      <c r="E715" s="45" t="n">
        <v>0</v>
      </c>
      <c r="F715" s="45" t="n">
        <v>0</v>
      </c>
      <c r="G715" s="45" t="n">
        <v>0</v>
      </c>
      <c r="H715" s="45" t="n">
        <v>0</v>
      </c>
      <c r="I715" s="45" t="n">
        <v>0</v>
      </c>
      <c r="J715" s="45" t="n">
        <v>0</v>
      </c>
      <c r="K715" s="45" t="n">
        <v>0</v>
      </c>
      <c r="L715" s="45" t="n">
        <v>0</v>
      </c>
      <c r="M715" s="45" t="n">
        <v>0</v>
      </c>
      <c r="N715" s="45" t="n">
        <v>0</v>
      </c>
    </row>
    <row r="716" customFormat="false" ht="18" hidden="false" customHeight="true" outlineLevel="0" collapsed="false">
      <c r="B716" s="44" t="s">
        <v>87</v>
      </c>
      <c r="C716" s="45" t="n">
        <v>0</v>
      </c>
      <c r="D716" s="45" t="n">
        <v>0</v>
      </c>
      <c r="E716" s="45" t="n">
        <v>0</v>
      </c>
      <c r="F716" s="45" t="n">
        <v>0</v>
      </c>
      <c r="G716" s="45" t="n">
        <v>0</v>
      </c>
      <c r="H716" s="45" t="n">
        <v>0</v>
      </c>
      <c r="I716" s="45" t="n">
        <v>0</v>
      </c>
      <c r="J716" s="45" t="n">
        <v>0</v>
      </c>
      <c r="K716" s="45" t="n">
        <v>0</v>
      </c>
      <c r="L716" s="45" t="n">
        <v>0</v>
      </c>
      <c r="M716" s="45" t="n">
        <v>0</v>
      </c>
      <c r="N716" s="45" t="n">
        <v>0</v>
      </c>
    </row>
    <row r="717" customFormat="false" ht="18" hidden="false" customHeight="true" outlineLevel="0" collapsed="false">
      <c r="B717" s="36" t="s">
        <v>88</v>
      </c>
      <c r="C717" s="37" t="n">
        <v>19</v>
      </c>
      <c r="D717" s="37" t="n">
        <v>0</v>
      </c>
      <c r="E717" s="37" t="n">
        <v>0</v>
      </c>
      <c r="F717" s="37" t="n">
        <v>0</v>
      </c>
      <c r="G717" s="37" t="n">
        <v>0</v>
      </c>
      <c r="H717" s="37" t="n">
        <v>0</v>
      </c>
      <c r="I717" s="37" t="n">
        <v>0</v>
      </c>
      <c r="J717" s="37" t="n">
        <v>0</v>
      </c>
      <c r="K717" s="37" t="n">
        <v>0</v>
      </c>
      <c r="L717" s="37" t="n">
        <v>0</v>
      </c>
      <c r="M717" s="37" t="n">
        <v>0</v>
      </c>
      <c r="N717" s="37" t="n">
        <v>0</v>
      </c>
    </row>
    <row r="720" customFormat="false" ht="27.75" hidden="false" customHeight="true" outlineLevel="0" collapsed="false">
      <c r="B720" s="46" t="s">
        <v>135</v>
      </c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</row>
    <row r="721" customFormat="false" ht="3.75" hidden="false" customHeight="true" outlineLevel="0" collapsed="false"/>
    <row r="722" customFormat="false" ht="25.5" hidden="false" customHeight="true" outlineLevel="0" collapsed="false">
      <c r="B722" s="47" t="s">
        <v>58</v>
      </c>
      <c r="C722" s="47" t="s">
        <v>68</v>
      </c>
      <c r="D722" s="47" t="s">
        <v>69</v>
      </c>
      <c r="E722" s="47" t="s">
        <v>70</v>
      </c>
      <c r="F722" s="47" t="s">
        <v>71</v>
      </c>
      <c r="G722" s="47" t="s">
        <v>72</v>
      </c>
      <c r="H722" s="47" t="s">
        <v>73</v>
      </c>
      <c r="I722" s="47" t="s">
        <v>74</v>
      </c>
      <c r="J722" s="47" t="s">
        <v>75</v>
      </c>
      <c r="K722" s="47" t="s">
        <v>76</v>
      </c>
      <c r="L722" s="47" t="s">
        <v>77</v>
      </c>
      <c r="M722" s="47" t="s">
        <v>78</v>
      </c>
      <c r="N722" s="47" t="s">
        <v>79</v>
      </c>
    </row>
    <row r="723" customFormat="false" ht="18" hidden="false" customHeight="true" outlineLevel="0" collapsed="false">
      <c r="B723" s="36" t="s">
        <v>80</v>
      </c>
      <c r="C723" s="37" t="n">
        <v>19</v>
      </c>
      <c r="D723" s="37" t="n">
        <v>0</v>
      </c>
      <c r="E723" s="37" t="n">
        <v>0</v>
      </c>
      <c r="F723" s="37" t="n">
        <v>0</v>
      </c>
      <c r="G723" s="37" t="n">
        <v>0</v>
      </c>
      <c r="H723" s="37" t="n">
        <v>0</v>
      </c>
      <c r="I723" s="37" t="n">
        <v>0</v>
      </c>
      <c r="J723" s="37" t="n">
        <v>0</v>
      </c>
      <c r="K723" s="37" t="n">
        <v>0</v>
      </c>
      <c r="L723" s="37" t="n">
        <v>0</v>
      </c>
      <c r="M723" s="37" t="n">
        <v>0</v>
      </c>
      <c r="N723" s="37" t="n">
        <v>0</v>
      </c>
    </row>
    <row r="724" customFormat="false" ht="18" hidden="false" customHeight="true" outlineLevel="0" collapsed="false">
      <c r="B724" s="38" t="s">
        <v>81</v>
      </c>
      <c r="C724" s="39" t="n">
        <v>0</v>
      </c>
      <c r="D724" s="39" t="n">
        <v>0</v>
      </c>
      <c r="E724" s="39" t="n">
        <v>0</v>
      </c>
      <c r="F724" s="39" t="n">
        <v>0</v>
      </c>
      <c r="G724" s="39" t="n">
        <v>0</v>
      </c>
      <c r="H724" s="39" t="n">
        <v>0</v>
      </c>
      <c r="I724" s="39" t="n">
        <v>0</v>
      </c>
      <c r="J724" s="39" t="n">
        <v>0</v>
      </c>
      <c r="K724" s="39" t="n">
        <v>0</v>
      </c>
      <c r="L724" s="39" t="n">
        <v>0</v>
      </c>
      <c r="M724" s="39" t="n">
        <v>0</v>
      </c>
      <c r="N724" s="39" t="n">
        <v>0</v>
      </c>
    </row>
    <row r="725" customFormat="false" ht="18" hidden="false" customHeight="true" outlineLevel="0" collapsed="false">
      <c r="B725" s="40" t="s">
        <v>82</v>
      </c>
      <c r="C725" s="41" t="n">
        <v>0</v>
      </c>
      <c r="D725" s="41" t="n">
        <v>0</v>
      </c>
      <c r="E725" s="41" t="n">
        <v>0</v>
      </c>
      <c r="F725" s="41" t="n">
        <v>0</v>
      </c>
      <c r="G725" s="41" t="n">
        <v>0</v>
      </c>
      <c r="H725" s="41" t="n">
        <v>0</v>
      </c>
      <c r="I725" s="41" t="n">
        <v>0</v>
      </c>
      <c r="J725" s="41" t="n">
        <v>0</v>
      </c>
      <c r="K725" s="41" t="n">
        <v>0</v>
      </c>
      <c r="L725" s="41" t="n">
        <v>0</v>
      </c>
      <c r="M725" s="41" t="n">
        <v>0</v>
      </c>
      <c r="N725" s="41" t="n">
        <v>0</v>
      </c>
    </row>
    <row r="726" customFormat="false" ht="18" hidden="false" customHeight="true" outlineLevel="0" collapsed="false">
      <c r="B726" s="38" t="s">
        <v>83</v>
      </c>
      <c r="C726" s="39" t="n">
        <v>0</v>
      </c>
      <c r="D726" s="39" t="n">
        <v>0</v>
      </c>
      <c r="E726" s="39" t="n">
        <v>0</v>
      </c>
      <c r="F726" s="39" t="n">
        <v>0</v>
      </c>
      <c r="G726" s="39" t="n">
        <v>0</v>
      </c>
      <c r="H726" s="39" t="n">
        <v>0</v>
      </c>
      <c r="I726" s="39" t="n">
        <v>0</v>
      </c>
      <c r="J726" s="39" t="n">
        <v>0</v>
      </c>
      <c r="K726" s="39" t="n">
        <v>0</v>
      </c>
      <c r="L726" s="39" t="n">
        <v>0</v>
      </c>
      <c r="M726" s="39" t="n">
        <v>0</v>
      </c>
      <c r="N726" s="39" t="n">
        <v>0</v>
      </c>
    </row>
    <row r="727" customFormat="false" ht="18" hidden="false" customHeight="true" outlineLevel="0" collapsed="false">
      <c r="B727" s="42" t="s">
        <v>84</v>
      </c>
      <c r="C727" s="43" t="n">
        <f aca="false">SUMPRODUCT((MONTH('⚫ Confirmed Attrition'!$G$5:$G$1000)=1)*(YEAR('⚫ Confirmed Attrition'!$G$5:$G$1000)=2026)*('⚫ Confirmed Attrition'!$D$5:$D$1000="Victor Jr Cabriles Fuentenegra"))</f>
        <v>0</v>
      </c>
      <c r="D727" s="43" t="n">
        <f aca="false">SUMPRODUCT((MONTH('⚫ Confirmed Attrition'!$G$5:$G$1000)=2)*(YEAR('⚫ Confirmed Attrition'!$G$5:$G$1000)=2026)*('⚫ Confirmed Attrition'!$D$5:$D$1000="Victor Jr Cabriles Fuentenegra"))</f>
        <v>0</v>
      </c>
      <c r="E727" s="43" t="n">
        <f aca="false">SUMPRODUCT((MONTH('⚫ Confirmed Attrition'!$G$5:$G$1000)=3)*(YEAR('⚫ Confirmed Attrition'!$G$5:$G$1000)=2026)*('⚫ Confirmed Attrition'!$D$5:$D$1000="Victor Jr Cabriles Fuentenegra"))</f>
        <v>0</v>
      </c>
      <c r="F727" s="43" t="n">
        <f aca="false">SUMPRODUCT((MONTH('⚫ Confirmed Attrition'!$G$5:$G$1000)=4)*(YEAR('⚫ Confirmed Attrition'!$G$5:$G$1000)=2026)*('⚫ Confirmed Attrition'!$D$5:$D$1000="Victor Jr Cabriles Fuentenegra"))</f>
        <v>0</v>
      </c>
      <c r="G727" s="43" t="n">
        <f aca="false">SUMPRODUCT((MONTH('⚫ Confirmed Attrition'!$G$5:$G$1000)=5)*(YEAR('⚫ Confirmed Attrition'!$G$5:$G$1000)=2026)*('⚫ Confirmed Attrition'!$D$5:$D$1000="Victor Jr Cabriles Fuentenegra"))</f>
        <v>0</v>
      </c>
      <c r="H727" s="43" t="n">
        <f aca="false">SUMPRODUCT((MONTH('⚫ Confirmed Attrition'!$G$5:$G$1000)=6)*(YEAR('⚫ Confirmed Attrition'!$G$5:$G$1000)=2026)*('⚫ Confirmed Attrition'!$D$5:$D$1000="Victor Jr Cabriles Fuentenegra"))</f>
        <v>0</v>
      </c>
      <c r="I727" s="43" t="n">
        <f aca="false">SUMPRODUCT((MONTH('⚫ Confirmed Attrition'!$G$5:$G$1000)=7)*(YEAR('⚫ Confirmed Attrition'!$G$5:$G$1000)=2026)*('⚫ Confirmed Attrition'!$D$5:$D$1000="Victor Jr Cabriles Fuentenegra"))</f>
        <v>0</v>
      </c>
      <c r="J727" s="43" t="n">
        <f aca="false">SUMPRODUCT((MONTH('⚫ Confirmed Attrition'!$G$5:$G$1000)=8)*(YEAR('⚫ Confirmed Attrition'!$G$5:$G$1000)=2026)*('⚫ Confirmed Attrition'!$D$5:$D$1000="Victor Jr Cabriles Fuentenegra"))</f>
        <v>0</v>
      </c>
      <c r="K727" s="43" t="n">
        <f aca="false">SUMPRODUCT((MONTH('⚫ Confirmed Attrition'!$G$5:$G$1000)=9)*(YEAR('⚫ Confirmed Attrition'!$G$5:$G$1000)=2026)*('⚫ Confirmed Attrition'!$D$5:$D$1000="Victor Jr Cabriles Fuentenegra"))</f>
        <v>0</v>
      </c>
      <c r="L727" s="43" t="n">
        <f aca="false">SUMPRODUCT((MONTH('⚫ Confirmed Attrition'!$G$5:$G$1000)=10)*(YEAR('⚫ Confirmed Attrition'!$G$5:$G$1000)=2026)*('⚫ Confirmed Attrition'!$D$5:$D$1000="Victor Jr Cabriles Fuentenegra"))</f>
        <v>0</v>
      </c>
      <c r="M727" s="43" t="n">
        <f aca="false">SUMPRODUCT((MONTH('⚫ Confirmed Attrition'!$G$5:$G$1000)=11)*(YEAR('⚫ Confirmed Attrition'!$G$5:$G$1000)=2026)*('⚫ Confirmed Attrition'!$D$5:$D$1000="Victor Jr Cabriles Fuentenegra"))</f>
        <v>0</v>
      </c>
      <c r="N727" s="43" t="n">
        <f aca="false">SUMPRODUCT((MONTH('⚫ Confirmed Attrition'!$G$5:$G$1000)=12)*(YEAR('⚫ Confirmed Attrition'!$G$5:$G$1000)=2026)*('⚫ Confirmed Attrition'!$D$5:$D$1000="Victor Jr Cabriles Fuentenegra"))</f>
        <v>0</v>
      </c>
    </row>
    <row r="728" customFormat="false" ht="18" hidden="false" customHeight="true" outlineLevel="0" collapsed="false">
      <c r="B728" s="44" t="s">
        <v>85</v>
      </c>
      <c r="C728" s="45" t="n">
        <v>0</v>
      </c>
      <c r="D728" s="45" t="n">
        <v>0</v>
      </c>
      <c r="E728" s="45" t="n">
        <v>0</v>
      </c>
      <c r="F728" s="45" t="n">
        <v>0</v>
      </c>
      <c r="G728" s="45" t="n">
        <v>0</v>
      </c>
      <c r="H728" s="45" t="n">
        <v>0</v>
      </c>
      <c r="I728" s="45" t="n">
        <v>0</v>
      </c>
      <c r="J728" s="45" t="n">
        <v>0</v>
      </c>
      <c r="K728" s="45" t="n">
        <v>0</v>
      </c>
      <c r="L728" s="45" t="n">
        <v>0</v>
      </c>
      <c r="M728" s="45" t="n">
        <v>0</v>
      </c>
      <c r="N728" s="45" t="n">
        <v>0</v>
      </c>
    </row>
    <row r="729" customFormat="false" ht="18" hidden="false" customHeight="true" outlineLevel="0" collapsed="false">
      <c r="B729" s="44" t="s">
        <v>86</v>
      </c>
      <c r="C729" s="45" t="n">
        <v>0</v>
      </c>
      <c r="D729" s="45" t="n">
        <v>0</v>
      </c>
      <c r="E729" s="45" t="n">
        <v>0</v>
      </c>
      <c r="F729" s="45" t="n">
        <v>0</v>
      </c>
      <c r="G729" s="45" t="n">
        <v>0</v>
      </c>
      <c r="H729" s="45" t="n">
        <v>0</v>
      </c>
      <c r="I729" s="45" t="n">
        <v>0</v>
      </c>
      <c r="J729" s="45" t="n">
        <v>0</v>
      </c>
      <c r="K729" s="45" t="n">
        <v>0</v>
      </c>
      <c r="L729" s="45" t="n">
        <v>0</v>
      </c>
      <c r="M729" s="45" t="n">
        <v>0</v>
      </c>
      <c r="N729" s="45" t="n">
        <v>0</v>
      </c>
    </row>
    <row r="730" customFormat="false" ht="18" hidden="false" customHeight="true" outlineLevel="0" collapsed="false">
      <c r="B730" s="44" t="s">
        <v>87</v>
      </c>
      <c r="C730" s="45" t="n">
        <v>0</v>
      </c>
      <c r="D730" s="45" t="n">
        <v>0</v>
      </c>
      <c r="E730" s="45" t="n">
        <v>0</v>
      </c>
      <c r="F730" s="45" t="n">
        <v>0</v>
      </c>
      <c r="G730" s="45" t="n">
        <v>0</v>
      </c>
      <c r="H730" s="45" t="n">
        <v>0</v>
      </c>
      <c r="I730" s="45" t="n">
        <v>0</v>
      </c>
      <c r="J730" s="45" t="n">
        <v>0</v>
      </c>
      <c r="K730" s="45" t="n">
        <v>0</v>
      </c>
      <c r="L730" s="45" t="n">
        <v>0</v>
      </c>
      <c r="M730" s="45" t="n">
        <v>0</v>
      </c>
      <c r="N730" s="45" t="n">
        <v>0</v>
      </c>
    </row>
    <row r="731" customFormat="false" ht="18" hidden="false" customHeight="true" outlineLevel="0" collapsed="false">
      <c r="B731" s="36" t="s">
        <v>88</v>
      </c>
      <c r="C731" s="37" t="n">
        <v>19</v>
      </c>
      <c r="D731" s="37" t="n">
        <v>0</v>
      </c>
      <c r="E731" s="37" t="n">
        <v>0</v>
      </c>
      <c r="F731" s="37" t="n">
        <v>0</v>
      </c>
      <c r="G731" s="37" t="n">
        <v>0</v>
      </c>
      <c r="H731" s="37" t="n">
        <v>0</v>
      </c>
      <c r="I731" s="37" t="n">
        <v>0</v>
      </c>
      <c r="J731" s="37" t="n">
        <v>0</v>
      </c>
      <c r="K731" s="37" t="n">
        <v>0</v>
      </c>
      <c r="L731" s="37" t="n">
        <v>0</v>
      </c>
      <c r="M731" s="37" t="n">
        <v>0</v>
      </c>
      <c r="N731" s="37" t="n">
        <v>0</v>
      </c>
    </row>
  </sheetData>
  <mergeCells count="65">
    <mergeCell ref="B2:L2"/>
    <mergeCell ref="B5:L5"/>
    <mergeCell ref="B13:D13"/>
    <mergeCell ref="E13:F13"/>
    <mergeCell ref="G13:H13"/>
    <mergeCell ref="I13:J13"/>
    <mergeCell ref="K13:L13"/>
    <mergeCell ref="B14:D14"/>
    <mergeCell ref="E14:F14"/>
    <mergeCell ref="G14:H14"/>
    <mergeCell ref="I14:J14"/>
    <mergeCell ref="K14:L14"/>
    <mergeCell ref="B16:L16"/>
    <mergeCell ref="B19:N19"/>
    <mergeCell ref="B33:N33"/>
    <mergeCell ref="B48:N48"/>
    <mergeCell ref="B63:N63"/>
    <mergeCell ref="B76:N76"/>
    <mergeCell ref="B78:N78"/>
    <mergeCell ref="B90:N90"/>
    <mergeCell ref="B104:N104"/>
    <mergeCell ref="B118:N118"/>
    <mergeCell ref="B132:N132"/>
    <mergeCell ref="B146:N146"/>
    <mergeCell ref="B160:N160"/>
    <mergeCell ref="B174:N174"/>
    <mergeCell ref="B188:N188"/>
    <mergeCell ref="B202:N202"/>
    <mergeCell ref="B216:N216"/>
    <mergeCell ref="B230:N230"/>
    <mergeCell ref="B244:N244"/>
    <mergeCell ref="B258:N258"/>
    <mergeCell ref="B272:N272"/>
    <mergeCell ref="B286:N286"/>
    <mergeCell ref="B300:N300"/>
    <mergeCell ref="B314:N314"/>
    <mergeCell ref="B328:N328"/>
    <mergeCell ref="B342:N342"/>
    <mergeCell ref="B356:N356"/>
    <mergeCell ref="B370:N370"/>
    <mergeCell ref="B384:N384"/>
    <mergeCell ref="B398:N398"/>
    <mergeCell ref="B412:N412"/>
    <mergeCell ref="B426:N426"/>
    <mergeCell ref="B440:N440"/>
    <mergeCell ref="B454:N454"/>
    <mergeCell ref="B468:N468"/>
    <mergeCell ref="B482:N482"/>
    <mergeCell ref="B496:N496"/>
    <mergeCell ref="B510:N510"/>
    <mergeCell ref="B524:N524"/>
    <mergeCell ref="B538:N538"/>
    <mergeCell ref="B552:N552"/>
    <mergeCell ref="B566:N566"/>
    <mergeCell ref="B580:N580"/>
    <mergeCell ref="B594:N594"/>
    <mergeCell ref="B608:N608"/>
    <mergeCell ref="B622:N622"/>
    <mergeCell ref="B636:N636"/>
    <mergeCell ref="B650:N650"/>
    <mergeCell ref="B664:N664"/>
    <mergeCell ref="B678:N678"/>
    <mergeCell ref="B692:N692"/>
    <mergeCell ref="B706:N706"/>
    <mergeCell ref="B720:N7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B1:U23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I5" activeCellId="0" sqref="I5"/>
    </sheetView>
  </sheetViews>
  <sheetFormatPr defaultColWidth="8.714843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22.71"/>
    <col collapsed="false" customWidth="true" hidden="false" outlineLevel="0" max="4" min="4" style="1" width="27.71"/>
    <col collapsed="false" customWidth="true" hidden="false" outlineLevel="0" max="5" min="5" style="1" width="18"/>
    <col collapsed="false" customWidth="true" hidden="false" outlineLevel="0" max="6" min="6" style="1" width="23.57"/>
    <col collapsed="false" customWidth="true" hidden="false" outlineLevel="0" max="7" min="7" style="1" width="15.85"/>
    <col collapsed="false" customWidth="true" hidden="false" outlineLevel="0" max="9" min="8" style="1" width="14"/>
    <col collapsed="false" customWidth="true" hidden="false" outlineLevel="0" max="10" min="10" style="1" width="20.29"/>
    <col collapsed="false" customWidth="true" hidden="false" outlineLevel="0" max="12" min="11" style="1" width="14"/>
    <col collapsed="false" customWidth="true" hidden="false" outlineLevel="0" max="13" min="13" style="1" width="16.57"/>
    <col collapsed="false" customWidth="true" hidden="false" outlineLevel="0" max="14" min="14" style="1" width="14"/>
    <col collapsed="false" customWidth="true" hidden="false" outlineLevel="0" max="15" min="15" style="1" width="22.71"/>
    <col collapsed="false" customWidth="true" hidden="false" outlineLevel="0" max="17" min="16" style="1" width="22.29"/>
    <col collapsed="false" customWidth="true" hidden="false" outlineLevel="0" max="19" min="18" style="1" width="22"/>
    <col collapsed="false" customWidth="true" hidden="false" outlineLevel="0" max="20" min="20" style="1" width="20"/>
    <col collapsed="false" customWidth="true" hidden="false" outlineLevel="0" max="21" min="21" style="1" width="15.29"/>
  </cols>
  <sheetData>
    <row r="1" customFormat="false" ht="7.5" hidden="false" customHeight="true" outlineLevel="0" collapsed="false"/>
    <row r="2" customFormat="false" ht="42" hidden="false" customHeight="true" outlineLevel="0" collapsed="false">
      <c r="B2" s="48" t="s">
        <v>136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customFormat="false" ht="7.5" hidden="false" customHeight="true" outlineLevel="0" collapsed="false"/>
    <row r="4" customFormat="false" ht="36" hidden="false" customHeight="true" outlineLevel="0" collapsed="false">
      <c r="B4" s="49" t="s">
        <v>137</v>
      </c>
      <c r="C4" s="49" t="s">
        <v>138</v>
      </c>
      <c r="D4" s="49" t="s">
        <v>139</v>
      </c>
      <c r="E4" s="49" t="s">
        <v>140</v>
      </c>
      <c r="F4" s="49" t="s">
        <v>141</v>
      </c>
      <c r="G4" s="49" t="s">
        <v>142</v>
      </c>
      <c r="H4" s="49" t="s">
        <v>143</v>
      </c>
      <c r="I4" s="49" t="s">
        <v>144</v>
      </c>
      <c r="J4" s="49" t="s">
        <v>145</v>
      </c>
      <c r="K4" s="49" t="s">
        <v>146</v>
      </c>
      <c r="L4" s="49" t="s">
        <v>147</v>
      </c>
      <c r="M4" s="49" t="s">
        <v>148</v>
      </c>
      <c r="N4" s="49" t="s">
        <v>149</v>
      </c>
      <c r="O4" s="49" t="s">
        <v>150</v>
      </c>
      <c r="P4" s="49" t="s">
        <v>151</v>
      </c>
      <c r="Q4" s="49" t="s">
        <v>152</v>
      </c>
      <c r="R4" s="49" t="s">
        <v>153</v>
      </c>
      <c r="S4" s="49" t="s">
        <v>154</v>
      </c>
      <c r="T4" s="49" t="s">
        <v>155</v>
      </c>
      <c r="U4" s="49" t="s">
        <v>156</v>
      </c>
    </row>
    <row r="5" customFormat="false" ht="21.75" hidden="false" customHeight="true" outlineLevel="0" collapsed="false">
      <c r="B5" s="50" t="n">
        <v>1</v>
      </c>
      <c r="C5" s="51" t="s">
        <v>157</v>
      </c>
      <c r="D5" s="52" t="s">
        <v>158</v>
      </c>
      <c r="E5" s="52" t="s">
        <v>159</v>
      </c>
      <c r="F5" s="53" t="s">
        <v>7</v>
      </c>
      <c r="G5" s="52" t="s">
        <v>160</v>
      </c>
      <c r="H5" s="52" t="s">
        <v>160</v>
      </c>
      <c r="I5" s="52" t="s">
        <v>160</v>
      </c>
      <c r="J5" s="52" t="s">
        <v>160</v>
      </c>
      <c r="K5" s="52" t="s">
        <v>160</v>
      </c>
      <c r="L5" s="52" t="s">
        <v>161</v>
      </c>
      <c r="M5" s="52" t="s">
        <v>161</v>
      </c>
      <c r="N5" s="52" t="s">
        <v>160</v>
      </c>
      <c r="O5" s="52" t="s">
        <v>161</v>
      </c>
      <c r="P5" s="52" t="s">
        <v>161</v>
      </c>
      <c r="Q5" s="52" t="s">
        <v>160</v>
      </c>
      <c r="R5" s="54" t="n">
        <f aca="false">COUNTIF(G5:Q5,"YES")</f>
        <v>7</v>
      </c>
      <c r="S5" s="55"/>
      <c r="T5" s="55"/>
      <c r="U5" s="52"/>
    </row>
    <row r="6" customFormat="false" ht="21.75" hidden="false" customHeight="true" outlineLevel="0" collapsed="false">
      <c r="B6" s="56" t="n">
        <v>2</v>
      </c>
      <c r="C6" s="57" t="s">
        <v>162</v>
      </c>
      <c r="D6" s="58" t="s">
        <v>163</v>
      </c>
      <c r="E6" s="58" t="s">
        <v>164</v>
      </c>
      <c r="F6" s="53" t="s">
        <v>6</v>
      </c>
      <c r="G6" s="58" t="s">
        <v>161</v>
      </c>
      <c r="H6" s="58" t="s">
        <v>160</v>
      </c>
      <c r="I6" s="58" t="s">
        <v>160</v>
      </c>
      <c r="J6" s="58" t="s">
        <v>161</v>
      </c>
      <c r="K6" s="58" t="s">
        <v>161</v>
      </c>
      <c r="L6" s="58" t="s">
        <v>161</v>
      </c>
      <c r="M6" s="58" t="s">
        <v>160</v>
      </c>
      <c r="N6" s="58" t="s">
        <v>161</v>
      </c>
      <c r="O6" s="58" t="s">
        <v>161</v>
      </c>
      <c r="P6" s="58" t="s">
        <v>160</v>
      </c>
      <c r="Q6" s="58" t="s">
        <v>160</v>
      </c>
      <c r="R6" s="54" t="n">
        <f aca="false">COUNTIF(G6:Q6,"YES")</f>
        <v>5</v>
      </c>
      <c r="S6" s="59"/>
      <c r="T6" s="59"/>
      <c r="U6" s="58"/>
    </row>
    <row r="7" customFormat="false" ht="21.75" hidden="false" customHeight="true" outlineLevel="0" collapsed="false">
      <c r="B7" s="50" t="n">
        <v>3</v>
      </c>
      <c r="C7" s="51" t="s">
        <v>165</v>
      </c>
      <c r="D7" s="52" t="s">
        <v>166</v>
      </c>
      <c r="E7" s="52" t="s">
        <v>167</v>
      </c>
      <c r="F7" s="53" t="s">
        <v>6</v>
      </c>
      <c r="G7" s="52" t="s">
        <v>161</v>
      </c>
      <c r="H7" s="52" t="s">
        <v>160</v>
      </c>
      <c r="I7" s="52" t="s">
        <v>161</v>
      </c>
      <c r="J7" s="52" t="s">
        <v>160</v>
      </c>
      <c r="K7" s="52" t="s">
        <v>161</v>
      </c>
      <c r="L7" s="52" t="s">
        <v>161</v>
      </c>
      <c r="M7" s="52" t="s">
        <v>161</v>
      </c>
      <c r="N7" s="52" t="s">
        <v>160</v>
      </c>
      <c r="O7" s="52" t="s">
        <v>160</v>
      </c>
      <c r="P7" s="52" t="s">
        <v>161</v>
      </c>
      <c r="Q7" s="52" t="s">
        <v>160</v>
      </c>
      <c r="R7" s="54" t="n">
        <f aca="false">COUNTIF(G7:Q7,"YES")</f>
        <v>5</v>
      </c>
      <c r="S7" s="55"/>
      <c r="T7" s="55"/>
      <c r="U7" s="52"/>
    </row>
    <row r="8" customFormat="false" ht="21.75" hidden="false" customHeight="true" outlineLevel="0" collapsed="false">
      <c r="B8" s="56" t="n">
        <v>4</v>
      </c>
      <c r="C8" s="57" t="s">
        <v>168</v>
      </c>
      <c r="D8" s="58" t="s">
        <v>169</v>
      </c>
      <c r="E8" s="58" t="s">
        <v>170</v>
      </c>
      <c r="F8" s="53" t="s">
        <v>4</v>
      </c>
      <c r="G8" s="58" t="s">
        <v>161</v>
      </c>
      <c r="H8" s="58" t="s">
        <v>161</v>
      </c>
      <c r="I8" s="58" t="s">
        <v>161</v>
      </c>
      <c r="J8" s="58" t="s">
        <v>160</v>
      </c>
      <c r="K8" s="58" t="s">
        <v>160</v>
      </c>
      <c r="L8" s="58" t="s">
        <v>161</v>
      </c>
      <c r="M8" s="58" t="s">
        <v>161</v>
      </c>
      <c r="N8" s="58" t="s">
        <v>160</v>
      </c>
      <c r="O8" s="58" t="s">
        <v>160</v>
      </c>
      <c r="P8" s="58" t="s">
        <v>160</v>
      </c>
      <c r="Q8" s="58" t="s">
        <v>160</v>
      </c>
      <c r="R8" s="54" t="n">
        <f aca="false">COUNTIF(G8:Q8,"YES")</f>
        <v>6</v>
      </c>
      <c r="S8" s="59"/>
      <c r="T8" s="59"/>
      <c r="U8" s="58"/>
    </row>
    <row r="9" customFormat="false" ht="21.75" hidden="false" customHeight="true" outlineLevel="0" collapsed="false">
      <c r="B9" s="50" t="n">
        <v>5</v>
      </c>
      <c r="C9" s="51" t="s">
        <v>171</v>
      </c>
      <c r="D9" s="52" t="s">
        <v>163</v>
      </c>
      <c r="E9" s="52" t="s">
        <v>172</v>
      </c>
      <c r="F9" s="53" t="s">
        <v>7</v>
      </c>
      <c r="G9" s="52" t="s">
        <v>160</v>
      </c>
      <c r="H9" s="52" t="s">
        <v>161</v>
      </c>
      <c r="I9" s="52" t="s">
        <v>160</v>
      </c>
      <c r="J9" s="52" t="s">
        <v>160</v>
      </c>
      <c r="K9" s="52" t="s">
        <v>161</v>
      </c>
      <c r="L9" s="52" t="s">
        <v>161</v>
      </c>
      <c r="M9" s="52" t="s">
        <v>160</v>
      </c>
      <c r="N9" s="52" t="s">
        <v>161</v>
      </c>
      <c r="O9" s="52" t="s">
        <v>161</v>
      </c>
      <c r="P9" s="52" t="s">
        <v>161</v>
      </c>
      <c r="Q9" s="52" t="s">
        <v>160</v>
      </c>
      <c r="R9" s="54" t="n">
        <f aca="false">COUNTIF(G9:Q9,"YES")</f>
        <v>5</v>
      </c>
      <c r="S9" s="55"/>
      <c r="T9" s="55"/>
      <c r="U9" s="52"/>
    </row>
    <row r="10" customFormat="false" ht="21.75" hidden="false" customHeight="true" outlineLevel="0" collapsed="false">
      <c r="B10" s="56" t="n">
        <v>6</v>
      </c>
      <c r="C10" s="57" t="s">
        <v>173</v>
      </c>
      <c r="D10" s="58" t="s">
        <v>166</v>
      </c>
      <c r="E10" s="58" t="s">
        <v>174</v>
      </c>
      <c r="F10" s="53" t="s">
        <v>5</v>
      </c>
      <c r="G10" s="58" t="s">
        <v>161</v>
      </c>
      <c r="H10" s="58" t="s">
        <v>161</v>
      </c>
      <c r="I10" s="58" t="s">
        <v>161</v>
      </c>
      <c r="J10" s="58" t="s">
        <v>161</v>
      </c>
      <c r="K10" s="58" t="s">
        <v>161</v>
      </c>
      <c r="L10" s="58" t="s">
        <v>161</v>
      </c>
      <c r="M10" s="58" t="s">
        <v>160</v>
      </c>
      <c r="N10" s="58" t="s">
        <v>160</v>
      </c>
      <c r="O10" s="58" t="s">
        <v>160</v>
      </c>
      <c r="P10" s="58" t="s">
        <v>160</v>
      </c>
      <c r="Q10" s="58" t="s">
        <v>160</v>
      </c>
      <c r="R10" s="54" t="n">
        <f aca="false">COUNTIF(G10:Q10,"YES")</f>
        <v>5</v>
      </c>
      <c r="S10" s="59"/>
      <c r="T10" s="59"/>
      <c r="U10" s="58"/>
    </row>
    <row r="11" customFormat="false" ht="21.75" hidden="false" customHeight="true" outlineLevel="0" collapsed="false">
      <c r="B11" s="50" t="n">
        <v>7</v>
      </c>
      <c r="C11" s="51" t="s">
        <v>175</v>
      </c>
      <c r="D11" s="52" t="s">
        <v>158</v>
      </c>
      <c r="E11" s="52" t="s">
        <v>176</v>
      </c>
      <c r="F11" s="53" t="s">
        <v>7</v>
      </c>
      <c r="G11" s="52" t="s">
        <v>161</v>
      </c>
      <c r="H11" s="52" t="s">
        <v>160</v>
      </c>
      <c r="I11" s="52" t="s">
        <v>160</v>
      </c>
      <c r="J11" s="52" t="s">
        <v>160</v>
      </c>
      <c r="K11" s="52" t="s">
        <v>160</v>
      </c>
      <c r="L11" s="52" t="s">
        <v>160</v>
      </c>
      <c r="M11" s="52" t="s">
        <v>160</v>
      </c>
      <c r="N11" s="52" t="s">
        <v>160</v>
      </c>
      <c r="O11" s="52" t="s">
        <v>161</v>
      </c>
      <c r="P11" s="52" t="s">
        <v>160</v>
      </c>
      <c r="Q11" s="52" t="s">
        <v>160</v>
      </c>
      <c r="R11" s="54" t="n">
        <f aca="false">COUNTIF(G11:Q11,"YES")</f>
        <v>9</v>
      </c>
      <c r="S11" s="55"/>
      <c r="T11" s="55"/>
      <c r="U11" s="52"/>
    </row>
    <row r="12" customFormat="false" ht="21.75" hidden="false" customHeight="true" outlineLevel="0" collapsed="false">
      <c r="B12" s="56" t="n">
        <v>8</v>
      </c>
      <c r="C12" s="57" t="s">
        <v>177</v>
      </c>
      <c r="D12" s="58" t="s">
        <v>163</v>
      </c>
      <c r="E12" s="58" t="s">
        <v>178</v>
      </c>
      <c r="F12" s="53" t="s">
        <v>7</v>
      </c>
      <c r="G12" s="58" t="s">
        <v>160</v>
      </c>
      <c r="H12" s="58" t="s">
        <v>161</v>
      </c>
      <c r="I12" s="58" t="s">
        <v>160</v>
      </c>
      <c r="J12" s="58" t="s">
        <v>161</v>
      </c>
      <c r="K12" s="58" t="s">
        <v>161</v>
      </c>
      <c r="L12" s="58" t="s">
        <v>161</v>
      </c>
      <c r="M12" s="58" t="s">
        <v>160</v>
      </c>
      <c r="N12" s="58" t="s">
        <v>161</v>
      </c>
      <c r="O12" s="58" t="s">
        <v>161</v>
      </c>
      <c r="P12" s="58" t="s">
        <v>160</v>
      </c>
      <c r="Q12" s="58" t="s">
        <v>160</v>
      </c>
      <c r="R12" s="54" t="n">
        <f aca="false">COUNTIF(G12:Q12,"YES")</f>
        <v>5</v>
      </c>
      <c r="S12" s="59"/>
      <c r="T12" s="59"/>
      <c r="U12" s="58"/>
    </row>
    <row r="13" customFormat="false" ht="21.75" hidden="false" customHeight="true" outlineLevel="0" collapsed="false">
      <c r="B13" s="50" t="n">
        <v>9</v>
      </c>
      <c r="C13" s="51" t="s">
        <v>179</v>
      </c>
      <c r="D13" s="52" t="s">
        <v>180</v>
      </c>
      <c r="E13" s="52" t="s">
        <v>181</v>
      </c>
      <c r="F13" s="53" t="s">
        <v>7</v>
      </c>
      <c r="G13" s="52" t="s">
        <v>161</v>
      </c>
      <c r="H13" s="52" t="s">
        <v>161</v>
      </c>
      <c r="I13" s="52" t="s">
        <v>161</v>
      </c>
      <c r="J13" s="52" t="s">
        <v>161</v>
      </c>
      <c r="K13" s="52" t="s">
        <v>160</v>
      </c>
      <c r="L13" s="52" t="s">
        <v>160</v>
      </c>
      <c r="M13" s="52" t="s">
        <v>160</v>
      </c>
      <c r="N13" s="52" t="s">
        <v>161</v>
      </c>
      <c r="O13" s="52" t="s">
        <v>161</v>
      </c>
      <c r="P13" s="52" t="s">
        <v>160</v>
      </c>
      <c r="Q13" s="52" t="s">
        <v>160</v>
      </c>
      <c r="R13" s="54" t="n">
        <f aca="false">COUNTIF(G13:Q13,"YES")</f>
        <v>5</v>
      </c>
      <c r="S13" s="55"/>
      <c r="T13" s="55"/>
      <c r="U13" s="52"/>
    </row>
    <row r="14" customFormat="false" ht="21.75" hidden="false" customHeight="true" outlineLevel="0" collapsed="false">
      <c r="B14" s="56" t="n">
        <v>10</v>
      </c>
      <c r="C14" s="57" t="s">
        <v>182</v>
      </c>
      <c r="D14" s="58" t="s">
        <v>169</v>
      </c>
      <c r="E14" s="58" t="s">
        <v>183</v>
      </c>
      <c r="F14" s="53" t="s">
        <v>7</v>
      </c>
      <c r="G14" s="58" t="s">
        <v>160</v>
      </c>
      <c r="H14" s="58" t="s">
        <v>161</v>
      </c>
      <c r="I14" s="58" t="s">
        <v>160</v>
      </c>
      <c r="J14" s="58" t="s">
        <v>161</v>
      </c>
      <c r="K14" s="58" t="s">
        <v>161</v>
      </c>
      <c r="L14" s="58" t="s">
        <v>160</v>
      </c>
      <c r="M14" s="58" t="s">
        <v>160</v>
      </c>
      <c r="N14" s="58" t="s">
        <v>161</v>
      </c>
      <c r="O14" s="58" t="s">
        <v>161</v>
      </c>
      <c r="P14" s="58" t="s">
        <v>160</v>
      </c>
      <c r="Q14" s="58" t="s">
        <v>160</v>
      </c>
      <c r="R14" s="54" t="n">
        <f aca="false">COUNTIF(G14:Q14,"YES")</f>
        <v>6</v>
      </c>
      <c r="S14" s="59"/>
      <c r="T14" s="59"/>
      <c r="U14" s="58"/>
    </row>
    <row r="15" customFormat="false" ht="21.75" hidden="false" customHeight="true" outlineLevel="0" collapsed="false">
      <c r="B15" s="50" t="n">
        <v>11</v>
      </c>
      <c r="C15" s="51" t="s">
        <v>184</v>
      </c>
      <c r="D15" s="52" t="s">
        <v>180</v>
      </c>
      <c r="E15" s="52" t="s">
        <v>185</v>
      </c>
      <c r="F15" s="53" t="s">
        <v>4</v>
      </c>
      <c r="G15" s="52" t="s">
        <v>160</v>
      </c>
      <c r="H15" s="52" t="s">
        <v>160</v>
      </c>
      <c r="I15" s="52" t="s">
        <v>161</v>
      </c>
      <c r="J15" s="52" t="s">
        <v>161</v>
      </c>
      <c r="K15" s="52" t="s">
        <v>161</v>
      </c>
      <c r="L15" s="52" t="s">
        <v>160</v>
      </c>
      <c r="M15" s="52" t="s">
        <v>161</v>
      </c>
      <c r="N15" s="52" t="s">
        <v>160</v>
      </c>
      <c r="O15" s="52" t="s">
        <v>160</v>
      </c>
      <c r="P15" s="52" t="s">
        <v>161</v>
      </c>
      <c r="Q15" s="52" t="s">
        <v>160</v>
      </c>
      <c r="R15" s="54" t="n">
        <f aca="false">COUNTIF(G15:Q15,"YES")</f>
        <v>6</v>
      </c>
      <c r="S15" s="55"/>
      <c r="T15" s="55"/>
      <c r="U15" s="52"/>
    </row>
    <row r="16" customFormat="false" ht="21.75" hidden="false" customHeight="true" outlineLevel="0" collapsed="false">
      <c r="B16" s="56" t="n">
        <v>12</v>
      </c>
      <c r="C16" s="57" t="s">
        <v>186</v>
      </c>
      <c r="D16" s="58" t="s">
        <v>180</v>
      </c>
      <c r="E16" s="58" t="s">
        <v>187</v>
      </c>
      <c r="F16" s="53" t="s">
        <v>7</v>
      </c>
      <c r="G16" s="58" t="s">
        <v>161</v>
      </c>
      <c r="H16" s="58" t="s">
        <v>161</v>
      </c>
      <c r="I16" s="58" t="s">
        <v>161</v>
      </c>
      <c r="J16" s="58" t="s">
        <v>161</v>
      </c>
      <c r="K16" s="58" t="s">
        <v>160</v>
      </c>
      <c r="L16" s="58" t="s">
        <v>160</v>
      </c>
      <c r="M16" s="58" t="s">
        <v>161</v>
      </c>
      <c r="N16" s="58" t="s">
        <v>160</v>
      </c>
      <c r="O16" s="58" t="s">
        <v>160</v>
      </c>
      <c r="P16" s="58" t="s">
        <v>161</v>
      </c>
      <c r="Q16" s="58" t="s">
        <v>160</v>
      </c>
      <c r="R16" s="54" t="n">
        <f aca="false">COUNTIF(G16:Q16,"YES")</f>
        <v>5</v>
      </c>
      <c r="S16" s="59"/>
      <c r="T16" s="59"/>
      <c r="U16" s="58"/>
    </row>
    <row r="17" customFormat="false" ht="21.75" hidden="false" customHeight="true" outlineLevel="0" collapsed="false">
      <c r="B17" s="50" t="n">
        <v>13</v>
      </c>
      <c r="C17" s="51" t="s">
        <v>188</v>
      </c>
      <c r="D17" s="52" t="s">
        <v>189</v>
      </c>
      <c r="E17" s="52" t="s">
        <v>185</v>
      </c>
      <c r="F17" s="53" t="s">
        <v>6</v>
      </c>
      <c r="G17" s="52" t="s">
        <v>160</v>
      </c>
      <c r="H17" s="52" t="s">
        <v>160</v>
      </c>
      <c r="I17" s="52" t="s">
        <v>161</v>
      </c>
      <c r="J17" s="52" t="s">
        <v>161</v>
      </c>
      <c r="K17" s="52" t="s">
        <v>161</v>
      </c>
      <c r="L17" s="52" t="s">
        <v>161</v>
      </c>
      <c r="M17" s="52" t="s">
        <v>160</v>
      </c>
      <c r="N17" s="52" t="s">
        <v>160</v>
      </c>
      <c r="O17" s="52" t="s">
        <v>161</v>
      </c>
      <c r="P17" s="52" t="s">
        <v>160</v>
      </c>
      <c r="Q17" s="52" t="s">
        <v>160</v>
      </c>
      <c r="R17" s="54" t="n">
        <f aca="false">COUNTIF(G17:Q17,"YES")</f>
        <v>6</v>
      </c>
      <c r="S17" s="55"/>
      <c r="T17" s="55"/>
      <c r="U17" s="52"/>
    </row>
    <row r="18" customFormat="false" ht="21.75" hidden="false" customHeight="true" outlineLevel="0" collapsed="false">
      <c r="B18" s="56" t="n">
        <v>14</v>
      </c>
      <c r="C18" s="57" t="s">
        <v>190</v>
      </c>
      <c r="D18" s="58" t="s">
        <v>169</v>
      </c>
      <c r="E18" s="58" t="s">
        <v>176</v>
      </c>
      <c r="F18" s="53" t="s">
        <v>4</v>
      </c>
      <c r="G18" s="58" t="s">
        <v>160</v>
      </c>
      <c r="H18" s="58" t="s">
        <v>161</v>
      </c>
      <c r="I18" s="58" t="s">
        <v>160</v>
      </c>
      <c r="J18" s="58" t="s">
        <v>161</v>
      </c>
      <c r="K18" s="58" t="s">
        <v>160</v>
      </c>
      <c r="L18" s="58" t="s">
        <v>161</v>
      </c>
      <c r="M18" s="58" t="s">
        <v>161</v>
      </c>
      <c r="N18" s="58" t="s">
        <v>160</v>
      </c>
      <c r="O18" s="58" t="s">
        <v>161</v>
      </c>
      <c r="P18" s="58" t="s">
        <v>160</v>
      </c>
      <c r="Q18" s="58" t="s">
        <v>160</v>
      </c>
      <c r="R18" s="54" t="n">
        <f aca="false">COUNTIF(G18:Q18,"YES")</f>
        <v>6</v>
      </c>
      <c r="S18" s="59"/>
      <c r="T18" s="59"/>
      <c r="U18" s="58"/>
    </row>
    <row r="19" customFormat="false" ht="21.75" hidden="false" customHeight="true" outlineLevel="0" collapsed="false">
      <c r="B19" s="50" t="n">
        <v>15</v>
      </c>
      <c r="C19" s="51" t="s">
        <v>191</v>
      </c>
      <c r="D19" s="52" t="s">
        <v>166</v>
      </c>
      <c r="E19" s="52" t="s">
        <v>192</v>
      </c>
      <c r="F19" s="53" t="s">
        <v>6</v>
      </c>
      <c r="G19" s="52" t="s">
        <v>161</v>
      </c>
      <c r="H19" s="52" t="s">
        <v>160</v>
      </c>
      <c r="I19" s="52" t="s">
        <v>161</v>
      </c>
      <c r="J19" s="52" t="s">
        <v>160</v>
      </c>
      <c r="K19" s="52" t="s">
        <v>161</v>
      </c>
      <c r="L19" s="52" t="s">
        <v>161</v>
      </c>
      <c r="M19" s="52" t="s">
        <v>160</v>
      </c>
      <c r="N19" s="52" t="s">
        <v>161</v>
      </c>
      <c r="O19" s="52" t="s">
        <v>161</v>
      </c>
      <c r="P19" s="52" t="s">
        <v>161</v>
      </c>
      <c r="Q19" s="52" t="s">
        <v>160</v>
      </c>
      <c r="R19" s="54" t="n">
        <f aca="false">COUNTIF(G19:Q19,"YES")</f>
        <v>4</v>
      </c>
      <c r="S19" s="55"/>
      <c r="T19" s="55"/>
      <c r="U19" s="52"/>
    </row>
    <row r="20" customFormat="false" ht="21.75" hidden="false" customHeight="true" outlineLevel="0" collapsed="false">
      <c r="B20" s="56" t="n">
        <v>16</v>
      </c>
      <c r="C20" s="57" t="s">
        <v>193</v>
      </c>
      <c r="D20" s="58" t="s">
        <v>180</v>
      </c>
      <c r="E20" s="58" t="s">
        <v>194</v>
      </c>
      <c r="F20" s="53" t="s">
        <v>4</v>
      </c>
      <c r="G20" s="58" t="s">
        <v>160</v>
      </c>
      <c r="H20" s="58" t="s">
        <v>161</v>
      </c>
      <c r="I20" s="58" t="s">
        <v>160</v>
      </c>
      <c r="J20" s="58" t="s">
        <v>161</v>
      </c>
      <c r="K20" s="58" t="s">
        <v>161</v>
      </c>
      <c r="L20" s="58" t="s">
        <v>160</v>
      </c>
      <c r="M20" s="58" t="s">
        <v>161</v>
      </c>
      <c r="N20" s="58" t="s">
        <v>160</v>
      </c>
      <c r="O20" s="58" t="s">
        <v>160</v>
      </c>
      <c r="P20" s="58" t="s">
        <v>161</v>
      </c>
      <c r="Q20" s="58" t="s">
        <v>160</v>
      </c>
      <c r="R20" s="54" t="n">
        <f aca="false">COUNTIF(G20:Q20,"YES")</f>
        <v>6</v>
      </c>
      <c r="S20" s="59"/>
      <c r="T20" s="59"/>
      <c r="U20" s="58"/>
    </row>
    <row r="21" customFormat="false" ht="21.75" hidden="false" customHeight="true" outlineLevel="0" collapsed="false">
      <c r="B21" s="50" t="n">
        <v>17</v>
      </c>
      <c r="C21" s="51" t="s">
        <v>195</v>
      </c>
      <c r="D21" s="52" t="s">
        <v>158</v>
      </c>
      <c r="E21" s="52" t="s">
        <v>196</v>
      </c>
      <c r="F21" s="53" t="s">
        <v>6</v>
      </c>
      <c r="G21" s="52" t="s">
        <v>161</v>
      </c>
      <c r="H21" s="52" t="s">
        <v>161</v>
      </c>
      <c r="I21" s="52" t="s">
        <v>160</v>
      </c>
      <c r="J21" s="52" t="s">
        <v>161</v>
      </c>
      <c r="K21" s="52" t="s">
        <v>161</v>
      </c>
      <c r="L21" s="52" t="s">
        <v>160</v>
      </c>
      <c r="M21" s="52" t="s">
        <v>160</v>
      </c>
      <c r="N21" s="52" t="s">
        <v>161</v>
      </c>
      <c r="O21" s="52" t="s">
        <v>160</v>
      </c>
      <c r="P21" s="52" t="s">
        <v>160</v>
      </c>
      <c r="Q21" s="52" t="s">
        <v>160</v>
      </c>
      <c r="R21" s="54" t="n">
        <f aca="false">COUNTIF(G21:Q21,"YES")</f>
        <v>6</v>
      </c>
      <c r="S21" s="55"/>
      <c r="T21" s="55"/>
      <c r="U21" s="52"/>
    </row>
    <row r="22" customFormat="false" ht="21.75" hidden="false" customHeight="true" outlineLevel="0" collapsed="false">
      <c r="B22" s="56" t="n">
        <v>18</v>
      </c>
      <c r="C22" s="57" t="s">
        <v>197</v>
      </c>
      <c r="D22" s="58" t="s">
        <v>189</v>
      </c>
      <c r="E22" s="58" t="s">
        <v>198</v>
      </c>
      <c r="F22" s="53" t="s">
        <v>6</v>
      </c>
      <c r="G22" s="58" t="s">
        <v>161</v>
      </c>
      <c r="H22" s="58" t="s">
        <v>161</v>
      </c>
      <c r="I22" s="58" t="s">
        <v>160</v>
      </c>
      <c r="J22" s="58" t="s">
        <v>161</v>
      </c>
      <c r="K22" s="58" t="s">
        <v>160</v>
      </c>
      <c r="L22" s="58" t="s">
        <v>161</v>
      </c>
      <c r="M22" s="58" t="s">
        <v>161</v>
      </c>
      <c r="N22" s="58" t="s">
        <v>161</v>
      </c>
      <c r="O22" s="58" t="s">
        <v>161</v>
      </c>
      <c r="P22" s="58" t="s">
        <v>160</v>
      </c>
      <c r="Q22" s="58" t="s">
        <v>160</v>
      </c>
      <c r="R22" s="54" t="n">
        <f aca="false">COUNTIF(G22:Q22,"YES")</f>
        <v>4</v>
      </c>
      <c r="S22" s="59"/>
      <c r="T22" s="59"/>
      <c r="U22" s="58"/>
    </row>
    <row r="23" customFormat="false" ht="21.75" hidden="false" customHeight="true" outlineLevel="0" collapsed="false">
      <c r="B23" s="50" t="n">
        <v>19</v>
      </c>
      <c r="C23" s="51" t="s">
        <v>199</v>
      </c>
      <c r="D23" s="52" t="s">
        <v>180</v>
      </c>
      <c r="E23" s="52" t="s">
        <v>187</v>
      </c>
      <c r="F23" s="53" t="s">
        <v>4</v>
      </c>
      <c r="G23" s="52" t="s">
        <v>160</v>
      </c>
      <c r="H23" s="52" t="s">
        <v>161</v>
      </c>
      <c r="I23" s="52" t="s">
        <v>160</v>
      </c>
      <c r="J23" s="52" t="s">
        <v>161</v>
      </c>
      <c r="K23" s="52" t="s">
        <v>160</v>
      </c>
      <c r="L23" s="52" t="s">
        <v>161</v>
      </c>
      <c r="M23" s="52" t="s">
        <v>161</v>
      </c>
      <c r="N23" s="52" t="s">
        <v>161</v>
      </c>
      <c r="O23" s="52" t="s">
        <v>161</v>
      </c>
      <c r="P23" s="52" t="s">
        <v>160</v>
      </c>
      <c r="Q23" s="52" t="s">
        <v>160</v>
      </c>
      <c r="R23" s="54" t="n">
        <f aca="false">COUNTIF(G23:Q23,"YES")</f>
        <v>5</v>
      </c>
      <c r="S23" s="55"/>
      <c r="T23" s="55"/>
      <c r="U23" s="52"/>
    </row>
  </sheetData>
  <mergeCells count="1">
    <mergeCell ref="B2:T2"/>
  </mergeCells>
  <conditionalFormatting sqref="G5:Q23">
    <cfRule type="cellIs" priority="2" operator="equal" aboveAverage="0" equalAverage="0" bottom="0" percent="0" rank="0" text="" dxfId="0">
      <formula>"YES"</formula>
    </cfRule>
  </conditionalFormatting>
  <conditionalFormatting sqref="F5:F23">
    <cfRule type="containsText" priority="3" operator="containsText" aboveAverage="0" equalAverage="0" bottom="0" percent="0" rank="0" text="GREEN" dxfId="1">
      <formula>NOT(ISERROR(SEARCH("GREEN",F5)))</formula>
    </cfRule>
    <cfRule type="containsText" priority="4" operator="containsText" aboveAverage="0" equalAverage="0" bottom="0" percent="0" rank="0" text="YELLOW" dxfId="2">
      <formula>NOT(ISERROR(SEARCH("YELLOW",F5)))</formula>
    </cfRule>
    <cfRule type="containsText" priority="5" operator="containsText" aboveAverage="0" equalAverage="0" bottom="0" percent="0" rank="0" text="RED" dxfId="3">
      <formula>NOT(ISERROR(SEARCH("RED",F5)))</formula>
    </cfRule>
    <cfRule type="containsText" priority="6" operator="containsText" aboveAverage="0" equalAverage="0" bottom="0" percent="0" rank="0" text="BLACK" dxfId="4">
      <formula>NOT(ISERROR(SEARCH("BLACK",F5)))</formula>
    </cfRule>
  </conditionalFormatting>
  <conditionalFormatting sqref="R5:R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="Please select a valid status." errorStyle="stop" errorTitle="Invalid Entry" operator="between" showDropDown="false" showErrorMessage="true" showInputMessage="false" sqref="F5:F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G5:Q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D2D"/>
    <pageSetUpPr fitToPage="fals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14843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5" min="4" style="1" width="16"/>
    <col collapsed="false" customWidth="true" hidden="false" outlineLevel="0" max="7" min="6" style="1" width="20"/>
    <col collapsed="false" customWidth="true" hidden="false" outlineLevel="0" max="8" min="8" style="1" width="22"/>
    <col collapsed="false" customWidth="true" hidden="false" outlineLevel="0" max="9" min="9" style="1" width="31.71"/>
  </cols>
  <sheetData>
    <row r="1" customFormat="false" ht="7.5" hidden="false" customHeight="true" outlineLevel="0" collapsed="false"/>
    <row r="2" customFormat="false" ht="42" hidden="false" customHeight="true" outlineLevel="0" collapsed="false">
      <c r="B2" s="60" t="s">
        <v>200</v>
      </c>
      <c r="C2" s="60"/>
      <c r="D2" s="60"/>
      <c r="E2" s="60"/>
      <c r="F2" s="60"/>
      <c r="G2" s="60"/>
      <c r="H2" s="60"/>
    </row>
    <row r="3" customFormat="false" ht="7.5" hidden="false" customHeight="true" outlineLevel="0" collapsed="false"/>
    <row r="4" customFormat="false" ht="36" hidden="false" customHeight="true" outlineLevel="0" collapsed="false">
      <c r="B4" s="61" t="s">
        <v>137</v>
      </c>
      <c r="C4" s="61" t="s">
        <v>138</v>
      </c>
      <c r="D4" s="61" t="s">
        <v>2</v>
      </c>
      <c r="E4" s="61" t="s">
        <v>139</v>
      </c>
      <c r="F4" s="61" t="s">
        <v>140</v>
      </c>
      <c r="G4" s="61" t="s">
        <v>201</v>
      </c>
      <c r="H4" s="61" t="s">
        <v>202</v>
      </c>
      <c r="I4" s="61" t="s">
        <v>155</v>
      </c>
    </row>
    <row r="5" customFormat="false" ht="21.75" hidden="false" customHeight="true" outlineLevel="0" collapsed="false">
      <c r="B5" s="52" t="n">
        <v>1</v>
      </c>
      <c r="C5" s="51" t="s">
        <v>157</v>
      </c>
      <c r="D5" s="52" t="s">
        <v>203</v>
      </c>
      <c r="E5" s="52" t="s">
        <v>180</v>
      </c>
      <c r="F5" s="62" t="n">
        <v>44256</v>
      </c>
      <c r="G5" s="62" t="n">
        <v>45757</v>
      </c>
      <c r="H5" s="52" t="s">
        <v>7</v>
      </c>
      <c r="I5" s="52" t="s">
        <v>204</v>
      </c>
    </row>
    <row r="6" customFormat="false" ht="21.75" hidden="false" customHeight="true" outlineLevel="0" collapsed="false">
      <c r="B6" s="58" t="n">
        <v>2</v>
      </c>
      <c r="C6" s="57" t="s">
        <v>162</v>
      </c>
      <c r="D6" s="58" t="s">
        <v>203</v>
      </c>
      <c r="E6" s="58" t="s">
        <v>169</v>
      </c>
      <c r="F6" s="63" t="n">
        <v>44256</v>
      </c>
      <c r="G6" s="63" t="n">
        <v>45757</v>
      </c>
      <c r="H6" s="58" t="s">
        <v>7</v>
      </c>
      <c r="I6" s="58" t="s">
        <v>204</v>
      </c>
    </row>
    <row r="7" customFormat="false" ht="21.75" hidden="false" customHeight="true" outlineLevel="0" collapsed="false">
      <c r="B7" s="52" t="n">
        <v>3</v>
      </c>
      <c r="C7" s="51" t="s">
        <v>205</v>
      </c>
      <c r="D7" s="52" t="s">
        <v>206</v>
      </c>
      <c r="E7" s="52" t="s">
        <v>169</v>
      </c>
      <c r="F7" s="62" t="n">
        <v>44256</v>
      </c>
      <c r="G7" s="62" t="n">
        <v>45757</v>
      </c>
      <c r="H7" s="52" t="s">
        <v>7</v>
      </c>
      <c r="I7" s="52" t="s">
        <v>204</v>
      </c>
    </row>
    <row r="8" customFormat="false" ht="21.75" hidden="false" customHeight="true" outlineLevel="0" collapsed="false">
      <c r="B8" s="58" t="n">
        <v>4</v>
      </c>
      <c r="C8" s="57" t="s">
        <v>207</v>
      </c>
      <c r="D8" s="58" t="s">
        <v>206</v>
      </c>
      <c r="E8" s="58" t="s">
        <v>169</v>
      </c>
      <c r="F8" s="63" t="n">
        <v>44256</v>
      </c>
      <c r="G8" s="63" t="n">
        <v>45757</v>
      </c>
      <c r="H8" s="58" t="s">
        <v>7</v>
      </c>
      <c r="I8" s="58" t="s">
        <v>204</v>
      </c>
    </row>
    <row r="9" customFormat="false" ht="21.75" hidden="false" customHeight="true" outlineLevel="0" collapsed="false">
      <c r="B9" s="52" t="n">
        <v>5</v>
      </c>
      <c r="C9" s="51" t="s">
        <v>208</v>
      </c>
      <c r="D9" s="52" t="s">
        <v>209</v>
      </c>
      <c r="E9" s="52" t="s">
        <v>169</v>
      </c>
      <c r="F9" s="62" t="n">
        <v>44256</v>
      </c>
      <c r="G9" s="62" t="n">
        <v>45757</v>
      </c>
      <c r="H9" s="52" t="s">
        <v>7</v>
      </c>
      <c r="I9" s="52" t="s">
        <v>204</v>
      </c>
    </row>
    <row r="10" customFormat="false" ht="21.75" hidden="false" customHeight="true" outlineLevel="0" collapsed="false">
      <c r="B10" s="58" t="n">
        <v>6</v>
      </c>
      <c r="C10" s="57" t="s">
        <v>210</v>
      </c>
      <c r="D10" s="58" t="s">
        <v>209</v>
      </c>
      <c r="E10" s="58" t="s">
        <v>180</v>
      </c>
      <c r="F10" s="63" t="n">
        <v>44256</v>
      </c>
      <c r="G10" s="63" t="n">
        <v>45757</v>
      </c>
      <c r="H10" s="58" t="s">
        <v>7</v>
      </c>
      <c r="I10" s="58" t="s">
        <v>204</v>
      </c>
    </row>
    <row r="11" customFormat="false" ht="21.75" hidden="false" customHeight="true" outlineLevel="0" collapsed="false">
      <c r="B11" s="52" t="n">
        <v>7</v>
      </c>
      <c r="C11" s="51" t="s">
        <v>211</v>
      </c>
      <c r="D11" s="52" t="s">
        <v>212</v>
      </c>
      <c r="E11" s="52" t="s">
        <v>169</v>
      </c>
      <c r="F11" s="62" t="n">
        <v>44256</v>
      </c>
      <c r="G11" s="62" t="n">
        <v>45757</v>
      </c>
      <c r="H11" s="52" t="s">
        <v>7</v>
      </c>
      <c r="I11" s="52" t="s">
        <v>204</v>
      </c>
    </row>
    <row r="12" customFormat="false" ht="21.75" hidden="false" customHeight="true" outlineLevel="0" collapsed="false">
      <c r="B12" s="58" t="n">
        <v>8</v>
      </c>
      <c r="C12" s="57" t="s">
        <v>213</v>
      </c>
      <c r="D12" s="58" t="s">
        <v>212</v>
      </c>
      <c r="E12" s="58" t="s">
        <v>180</v>
      </c>
      <c r="F12" s="63" t="n">
        <v>44256</v>
      </c>
      <c r="G12" s="63" t="n">
        <v>45757</v>
      </c>
      <c r="H12" s="58" t="s">
        <v>7</v>
      </c>
      <c r="I12" s="58" t="s">
        <v>204</v>
      </c>
    </row>
    <row r="14" customFormat="false" ht="30" hidden="false" customHeight="true" outlineLevel="0" collapsed="false">
      <c r="B14" s="64" t="s">
        <v>214</v>
      </c>
      <c r="C14" s="64"/>
      <c r="D14" s="64"/>
      <c r="E14" s="64"/>
      <c r="F14" s="64"/>
      <c r="G14" s="64"/>
      <c r="H14" s="64"/>
    </row>
  </sheetData>
  <mergeCells count="2">
    <mergeCell ref="B2:H2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21" activeCellId="0" sqref="C21"/>
    </sheetView>
  </sheetViews>
  <sheetFormatPr defaultColWidth="8.714843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55"/>
    <col collapsed="false" customWidth="true" hidden="false" outlineLevel="0" max="4" min="4" style="1" width="22"/>
  </cols>
  <sheetData>
    <row r="1" customFormat="false" ht="7.5" hidden="false" customHeight="true" outlineLevel="0" collapsed="false"/>
    <row r="2" customFormat="false" ht="42" hidden="false" customHeight="true" outlineLevel="0" collapsed="false">
      <c r="B2" s="65" t="s">
        <v>215</v>
      </c>
      <c r="C2" s="65"/>
      <c r="D2" s="65"/>
    </row>
    <row r="4" customFormat="false" ht="27.75" hidden="false" customHeight="true" outlineLevel="0" collapsed="false">
      <c r="B4" s="66" t="s">
        <v>216</v>
      </c>
      <c r="C4" s="67" t="s">
        <v>217</v>
      </c>
      <c r="D4" s="66" t="s">
        <v>218</v>
      </c>
    </row>
    <row r="5" customFormat="false" ht="51.75" hidden="false" customHeight="true" outlineLevel="0" collapsed="false">
      <c r="B5" s="68" t="s">
        <v>4</v>
      </c>
      <c r="C5" s="69" t="s">
        <v>219</v>
      </c>
      <c r="D5" s="68" t="s">
        <v>220</v>
      </c>
    </row>
    <row r="6" customFormat="false" ht="50.25" hidden="false" customHeight="true" outlineLevel="0" collapsed="false">
      <c r="B6" s="70" t="s">
        <v>5</v>
      </c>
      <c r="C6" s="71" t="s">
        <v>221</v>
      </c>
      <c r="D6" s="70" t="s">
        <v>222</v>
      </c>
    </row>
    <row r="7" customFormat="false" ht="56.25" hidden="false" customHeight="true" outlineLevel="0" collapsed="false">
      <c r="B7" s="72" t="s">
        <v>6</v>
      </c>
      <c r="C7" s="73" t="s">
        <v>223</v>
      </c>
      <c r="D7" s="72" t="s">
        <v>224</v>
      </c>
    </row>
    <row r="8" customFormat="false" ht="55.5" hidden="false" customHeight="true" outlineLevel="0" collapsed="false">
      <c r="B8" s="61" t="s">
        <v>7</v>
      </c>
      <c r="C8" s="74" t="s">
        <v>225</v>
      </c>
      <c r="D8" s="61" t="s">
        <v>226</v>
      </c>
    </row>
    <row r="10" customFormat="false" ht="13.5" hidden="false" customHeight="true" outlineLevel="0" collapsed="false"/>
    <row r="11" customFormat="false" ht="15" hidden="false" customHeight="true" outlineLevel="0" collapsed="false">
      <c r="B11" s="75" t="s">
        <v>227</v>
      </c>
      <c r="C11" s="75"/>
      <c r="D11" s="75"/>
    </row>
    <row r="12" customFormat="false" ht="21.75" hidden="false" customHeight="true" outlineLevel="0" collapsed="false">
      <c r="B12" s="57" t="s">
        <v>142</v>
      </c>
      <c r="C12" s="76" t="s">
        <v>228</v>
      </c>
      <c r="D12" s="76"/>
    </row>
    <row r="13" customFormat="false" ht="21.75" hidden="false" customHeight="true" outlineLevel="0" collapsed="false">
      <c r="B13" s="51" t="s">
        <v>143</v>
      </c>
      <c r="C13" s="77" t="s">
        <v>229</v>
      </c>
      <c r="D13" s="77"/>
    </row>
    <row r="14" customFormat="false" ht="21.75" hidden="false" customHeight="true" outlineLevel="0" collapsed="false">
      <c r="B14" s="57" t="s">
        <v>144</v>
      </c>
      <c r="C14" s="76" t="s">
        <v>230</v>
      </c>
      <c r="D14" s="76"/>
    </row>
    <row r="15" customFormat="false" ht="40.5" hidden="false" customHeight="true" outlineLevel="0" collapsed="false">
      <c r="B15" s="51" t="s">
        <v>145</v>
      </c>
      <c r="C15" s="77" t="s">
        <v>231</v>
      </c>
      <c r="D15" s="77"/>
    </row>
    <row r="16" customFormat="false" ht="21.75" hidden="false" customHeight="true" outlineLevel="0" collapsed="false">
      <c r="B16" s="57" t="s">
        <v>146</v>
      </c>
      <c r="C16" s="76" t="s">
        <v>232</v>
      </c>
      <c r="D16" s="76"/>
    </row>
    <row r="17" customFormat="false" ht="30.75" hidden="false" customHeight="true" outlineLevel="0" collapsed="false">
      <c r="B17" s="51" t="s">
        <v>147</v>
      </c>
      <c r="C17" s="77" t="s">
        <v>233</v>
      </c>
      <c r="D17" s="77"/>
    </row>
    <row r="18" customFormat="false" ht="21.75" hidden="false" customHeight="true" outlineLevel="0" collapsed="false">
      <c r="B18" s="57" t="s">
        <v>234</v>
      </c>
      <c r="C18" s="76" t="s">
        <v>235</v>
      </c>
      <c r="D18" s="76"/>
    </row>
    <row r="19" customFormat="false" ht="21.75" hidden="false" customHeight="true" outlineLevel="0" collapsed="false">
      <c r="B19" s="51" t="s">
        <v>149</v>
      </c>
      <c r="C19" s="77" t="s">
        <v>236</v>
      </c>
      <c r="D19" s="77"/>
    </row>
    <row r="20" customFormat="false" ht="27" hidden="false" customHeight="true" outlineLevel="0" collapsed="false">
      <c r="B20" s="57" t="s">
        <v>150</v>
      </c>
      <c r="C20" s="76" t="s">
        <v>237</v>
      </c>
      <c r="D20" s="76"/>
    </row>
    <row r="21" customFormat="false" ht="30.75" hidden="false" customHeight="true" outlineLevel="0" collapsed="false">
      <c r="B21" s="51" t="s">
        <v>151</v>
      </c>
      <c r="C21" s="77" t="s">
        <v>238</v>
      </c>
      <c r="D21" s="77"/>
    </row>
  </sheetData>
  <mergeCells count="12">
    <mergeCell ref="B2:D2"/>
    <mergeCell ref="B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239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254</v>
      </c>
      <c r="D5" s="80" t="s">
        <v>255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256</v>
      </c>
      <c r="D6" s="83" t="s">
        <v>257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258</v>
      </c>
      <c r="D7" s="80" t="s">
        <v>259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260</v>
      </c>
      <c r="D8" s="83" t="s">
        <v>261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262</v>
      </c>
      <c r="D9" s="80" t="s">
        <v>263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264</v>
      </c>
      <c r="D10" s="83" t="s">
        <v>265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266</v>
      </c>
      <c r="D11" s="80" t="s">
        <v>267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268</v>
      </c>
      <c r="D12" s="83" t="s">
        <v>269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270</v>
      </c>
      <c r="D13" s="80" t="s">
        <v>271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272</v>
      </c>
      <c r="D14" s="83" t="s">
        <v>273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274</v>
      </c>
      <c r="D15" s="80" t="s">
        <v>275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276</v>
      </c>
      <c r="D16" s="83" t="s">
        <v>277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278</v>
      </c>
      <c r="D17" s="80" t="s">
        <v>279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280</v>
      </c>
      <c r="D18" s="83" t="s">
        <v>281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282</v>
      </c>
      <c r="D19" s="80" t="s">
        <v>283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284</v>
      </c>
      <c r="D20" s="83" t="s">
        <v>285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286</v>
      </c>
      <c r="D21" s="80" t="s">
        <v>287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288</v>
      </c>
      <c r="D22" s="83" t="s">
        <v>289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290</v>
      </c>
      <c r="D23" s="80" t="s">
        <v>291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292</v>
      </c>
      <c r="D24" s="83" t="s">
        <v>293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  <row r="25" customFormat="false" ht="18" hidden="false" customHeight="true" outlineLevel="0" collapsed="false">
      <c r="B25" s="80" t="n">
        <v>21</v>
      </c>
      <c r="C25" s="81" t="s">
        <v>294</v>
      </c>
      <c r="D25" s="80" t="s">
        <v>295</v>
      </c>
      <c r="E25" s="80"/>
      <c r="F25" s="80"/>
      <c r="G25" s="80" t="s">
        <v>5</v>
      </c>
      <c r="H25" s="80" t="s">
        <v>161</v>
      </c>
      <c r="I25" s="80" t="s">
        <v>161</v>
      </c>
      <c r="J25" s="80" t="s">
        <v>161</v>
      </c>
      <c r="K25" s="80" t="s">
        <v>161</v>
      </c>
      <c r="L25" s="80" t="s">
        <v>161</v>
      </c>
      <c r="M25" s="80" t="s">
        <v>161</v>
      </c>
      <c r="N25" s="80" t="s">
        <v>161</v>
      </c>
      <c r="O25" s="80" t="s">
        <v>161</v>
      </c>
      <c r="P25" s="80" t="s">
        <v>161</v>
      </c>
      <c r="Q25" s="80" t="s">
        <v>161</v>
      </c>
      <c r="R25" s="80" t="s">
        <v>161</v>
      </c>
      <c r="S25" s="82" t="n">
        <f aca="false">COUNTIF(H25:R25,"YES")</f>
        <v>0</v>
      </c>
      <c r="T25" s="80"/>
      <c r="U25" s="80"/>
      <c r="V25" s="80"/>
    </row>
    <row r="26" customFormat="false" ht="18" hidden="false" customHeight="true" outlineLevel="0" collapsed="false">
      <c r="B26" s="83" t="n">
        <v>22</v>
      </c>
      <c r="C26" s="84" t="s">
        <v>296</v>
      </c>
      <c r="D26" s="83" t="s">
        <v>297</v>
      </c>
      <c r="E26" s="83"/>
      <c r="F26" s="83"/>
      <c r="G26" s="83" t="s">
        <v>5</v>
      </c>
      <c r="H26" s="83" t="s">
        <v>161</v>
      </c>
      <c r="I26" s="83" t="s">
        <v>161</v>
      </c>
      <c r="J26" s="83" t="s">
        <v>161</v>
      </c>
      <c r="K26" s="83" t="s">
        <v>161</v>
      </c>
      <c r="L26" s="83" t="s">
        <v>161</v>
      </c>
      <c r="M26" s="83" t="s">
        <v>161</v>
      </c>
      <c r="N26" s="83" t="s">
        <v>161</v>
      </c>
      <c r="O26" s="83" t="s">
        <v>161</v>
      </c>
      <c r="P26" s="83" t="s">
        <v>161</v>
      </c>
      <c r="Q26" s="83" t="s">
        <v>161</v>
      </c>
      <c r="R26" s="83" t="s">
        <v>161</v>
      </c>
      <c r="S26" s="85" t="n">
        <f aca="false">COUNTIF(H26:R26,"YES")</f>
        <v>0</v>
      </c>
      <c r="T26" s="83"/>
      <c r="U26" s="83"/>
      <c r="V26" s="83"/>
    </row>
    <row r="27" customFormat="false" ht="18" hidden="false" customHeight="true" outlineLevel="0" collapsed="false">
      <c r="B27" s="80" t="n">
        <v>23</v>
      </c>
      <c r="C27" s="81" t="s">
        <v>298</v>
      </c>
      <c r="D27" s="80" t="s">
        <v>299</v>
      </c>
      <c r="E27" s="80"/>
      <c r="F27" s="80"/>
      <c r="G27" s="80" t="s">
        <v>5</v>
      </c>
      <c r="H27" s="80" t="s">
        <v>161</v>
      </c>
      <c r="I27" s="80" t="s">
        <v>161</v>
      </c>
      <c r="J27" s="80" t="s">
        <v>161</v>
      </c>
      <c r="K27" s="80" t="s">
        <v>161</v>
      </c>
      <c r="L27" s="80" t="s">
        <v>161</v>
      </c>
      <c r="M27" s="80" t="s">
        <v>161</v>
      </c>
      <c r="N27" s="80" t="s">
        <v>161</v>
      </c>
      <c r="O27" s="80" t="s">
        <v>161</v>
      </c>
      <c r="P27" s="80" t="s">
        <v>161</v>
      </c>
      <c r="Q27" s="80" t="s">
        <v>161</v>
      </c>
      <c r="R27" s="80" t="s">
        <v>161</v>
      </c>
      <c r="S27" s="82" t="n">
        <f aca="false">COUNTIF(H27:R27,"YES")</f>
        <v>0</v>
      </c>
      <c r="T27" s="80"/>
      <c r="U27" s="80"/>
      <c r="V27" s="80"/>
    </row>
    <row r="28" customFormat="false" ht="18" hidden="false" customHeight="true" outlineLevel="0" collapsed="false">
      <c r="B28" s="83" t="n">
        <v>24</v>
      </c>
      <c r="C28" s="84" t="s">
        <v>300</v>
      </c>
      <c r="D28" s="83" t="s">
        <v>301</v>
      </c>
      <c r="E28" s="83"/>
      <c r="F28" s="83"/>
      <c r="G28" s="83" t="s">
        <v>5</v>
      </c>
      <c r="H28" s="83" t="s">
        <v>161</v>
      </c>
      <c r="I28" s="83" t="s">
        <v>161</v>
      </c>
      <c r="J28" s="83" t="s">
        <v>161</v>
      </c>
      <c r="K28" s="83" t="s">
        <v>161</v>
      </c>
      <c r="L28" s="83" t="s">
        <v>161</v>
      </c>
      <c r="M28" s="83" t="s">
        <v>161</v>
      </c>
      <c r="N28" s="83" t="s">
        <v>161</v>
      </c>
      <c r="O28" s="83" t="s">
        <v>161</v>
      </c>
      <c r="P28" s="83" t="s">
        <v>161</v>
      </c>
      <c r="Q28" s="83" t="s">
        <v>161</v>
      </c>
      <c r="R28" s="83" t="s">
        <v>161</v>
      </c>
      <c r="S28" s="85" t="n">
        <f aca="false">COUNTIF(H28:R28,"YES")</f>
        <v>0</v>
      </c>
      <c r="T28" s="83"/>
      <c r="U28" s="83"/>
      <c r="V28" s="83"/>
    </row>
    <row r="29" customFormat="false" ht="18" hidden="false" customHeight="true" outlineLevel="0" collapsed="false">
      <c r="B29" s="80" t="n">
        <v>25</v>
      </c>
      <c r="C29" s="81" t="s">
        <v>302</v>
      </c>
      <c r="D29" s="80" t="s">
        <v>303</v>
      </c>
      <c r="E29" s="80"/>
      <c r="F29" s="80"/>
      <c r="G29" s="80" t="s">
        <v>5</v>
      </c>
      <c r="H29" s="80" t="s">
        <v>161</v>
      </c>
      <c r="I29" s="80" t="s">
        <v>161</v>
      </c>
      <c r="J29" s="80" t="s">
        <v>161</v>
      </c>
      <c r="K29" s="80" t="s">
        <v>161</v>
      </c>
      <c r="L29" s="80" t="s">
        <v>161</v>
      </c>
      <c r="M29" s="80" t="s">
        <v>161</v>
      </c>
      <c r="N29" s="80" t="s">
        <v>161</v>
      </c>
      <c r="O29" s="80" t="s">
        <v>161</v>
      </c>
      <c r="P29" s="80" t="s">
        <v>161</v>
      </c>
      <c r="Q29" s="80" t="s">
        <v>161</v>
      </c>
      <c r="R29" s="80" t="s">
        <v>161</v>
      </c>
      <c r="S29" s="82" t="n">
        <f aca="false">COUNTIF(H29:R29,"YES")</f>
        <v>0</v>
      </c>
      <c r="T29" s="80"/>
      <c r="U29" s="80"/>
      <c r="V29" s="80"/>
    </row>
  </sheetData>
  <mergeCells count="1">
    <mergeCell ref="B2:V2"/>
  </mergeCells>
  <conditionalFormatting sqref="H5:R29">
    <cfRule type="cellIs" priority="2" operator="equal" aboveAverage="0" equalAverage="0" bottom="0" percent="0" rank="0" text="" dxfId="0">
      <formula>"YES"</formula>
    </cfRule>
  </conditionalFormatting>
  <conditionalFormatting sqref="G5:G29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9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9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304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305</v>
      </c>
      <c r="D5" s="80" t="s">
        <v>306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307</v>
      </c>
      <c r="D6" s="83" t="s">
        <v>308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309</v>
      </c>
      <c r="D7" s="80" t="s">
        <v>310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311</v>
      </c>
      <c r="D8" s="83" t="s">
        <v>312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313</v>
      </c>
      <c r="D9" s="80" t="s">
        <v>314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315</v>
      </c>
      <c r="D10" s="83" t="s">
        <v>316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317</v>
      </c>
      <c r="D11" s="80" t="s">
        <v>318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319</v>
      </c>
      <c r="D12" s="83" t="s">
        <v>320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321</v>
      </c>
      <c r="D13" s="80" t="s">
        <v>322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323</v>
      </c>
      <c r="D14" s="83" t="s">
        <v>324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</sheetData>
  <mergeCells count="1">
    <mergeCell ref="B2:V2"/>
  </mergeCells>
  <conditionalFormatting sqref="H5:R14">
    <cfRule type="cellIs" priority="2" operator="equal" aboveAverage="0" equalAverage="0" bottom="0" percent="0" rank="0" text="" dxfId="0">
      <formula>"YES"</formula>
    </cfRule>
  </conditionalFormatting>
  <conditionalFormatting sqref="G5:G14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4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4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325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326</v>
      </c>
      <c r="D5" s="80" t="s">
        <v>327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328</v>
      </c>
      <c r="D6" s="83" t="s">
        <v>329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330</v>
      </c>
      <c r="D7" s="80" t="s">
        <v>331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332</v>
      </c>
      <c r="D8" s="83" t="s">
        <v>333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334</v>
      </c>
      <c r="D9" s="80" t="s">
        <v>335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336</v>
      </c>
      <c r="D10" s="83" t="s">
        <v>337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338</v>
      </c>
      <c r="D11" s="80" t="s">
        <v>339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340</v>
      </c>
      <c r="D12" s="83" t="s">
        <v>341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342</v>
      </c>
      <c r="D13" s="80" t="s">
        <v>343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344</v>
      </c>
      <c r="D14" s="83" t="s">
        <v>345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346</v>
      </c>
      <c r="D15" s="80" t="s">
        <v>347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348</v>
      </c>
      <c r="D16" s="83" t="s">
        <v>349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350</v>
      </c>
      <c r="D17" s="80" t="s">
        <v>351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352</v>
      </c>
      <c r="D18" s="83" t="s">
        <v>353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354</v>
      </c>
      <c r="D19" s="80" t="s">
        <v>355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356</v>
      </c>
      <c r="D20" s="83" t="s">
        <v>357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358</v>
      </c>
      <c r="D21" s="80" t="s">
        <v>359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360</v>
      </c>
      <c r="D22" s="83" t="s">
        <v>361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362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363</v>
      </c>
      <c r="D5" s="80" t="s">
        <v>364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365</v>
      </c>
      <c r="D6" s="83" t="s">
        <v>366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367</v>
      </c>
      <c r="D7" s="80" t="s">
        <v>368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369</v>
      </c>
      <c r="D8" s="83" t="s">
        <v>370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371</v>
      </c>
      <c r="D9" s="80" t="s">
        <v>372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</sheetData>
  <mergeCells count="1">
    <mergeCell ref="B2:V2"/>
  </mergeCells>
  <conditionalFormatting sqref="H5:R9">
    <cfRule type="cellIs" priority="2" operator="equal" aboveAverage="0" equalAverage="0" bottom="0" percent="0" rank="0" text="" dxfId="0">
      <formula>"YES"</formula>
    </cfRule>
  </conditionalFormatting>
  <conditionalFormatting sqref="G5:G9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9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9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373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374</v>
      </c>
      <c r="D5" s="80" t="s">
        <v>375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376</v>
      </c>
      <c r="D6" s="83" t="s">
        <v>377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378</v>
      </c>
      <c r="D7" s="80" t="s">
        <v>379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380</v>
      </c>
      <c r="D8" s="83" t="s">
        <v>381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382</v>
      </c>
      <c r="D9" s="80" t="s">
        <v>383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384</v>
      </c>
      <c r="D10" s="83" t="s">
        <v>385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386</v>
      </c>
      <c r="D11" s="80" t="s">
        <v>387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388</v>
      </c>
      <c r="D12" s="83" t="s">
        <v>389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390</v>
      </c>
      <c r="D13" s="80" t="s">
        <v>391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392</v>
      </c>
      <c r="D14" s="83" t="s">
        <v>393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394</v>
      </c>
      <c r="D15" s="80" t="s">
        <v>395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396</v>
      </c>
      <c r="D16" s="83" t="s">
        <v>397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398</v>
      </c>
      <c r="D17" s="80" t="s">
        <v>399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400</v>
      </c>
      <c r="D18" s="83" t="s">
        <v>401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402</v>
      </c>
      <c r="D19" s="80" t="s">
        <v>403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404</v>
      </c>
      <c r="D20" s="83" t="s">
        <v>405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406</v>
      </c>
      <c r="D21" s="80" t="s">
        <v>407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408</v>
      </c>
      <c r="D22" s="83" t="s">
        <v>409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410</v>
      </c>
      <c r="D23" s="80" t="s">
        <v>411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412</v>
      </c>
      <c r="D24" s="83" t="s">
        <v>413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  <row r="25" customFormat="false" ht="18" hidden="false" customHeight="true" outlineLevel="0" collapsed="false">
      <c r="B25" s="80" t="n">
        <v>21</v>
      </c>
      <c r="C25" s="81" t="s">
        <v>414</v>
      </c>
      <c r="D25" s="80" t="s">
        <v>415</v>
      </c>
      <c r="E25" s="80"/>
      <c r="F25" s="80"/>
      <c r="G25" s="80" t="s">
        <v>5</v>
      </c>
      <c r="H25" s="80" t="s">
        <v>161</v>
      </c>
      <c r="I25" s="80" t="s">
        <v>161</v>
      </c>
      <c r="J25" s="80" t="s">
        <v>161</v>
      </c>
      <c r="K25" s="80" t="s">
        <v>161</v>
      </c>
      <c r="L25" s="80" t="s">
        <v>161</v>
      </c>
      <c r="M25" s="80" t="s">
        <v>161</v>
      </c>
      <c r="N25" s="80" t="s">
        <v>161</v>
      </c>
      <c r="O25" s="80" t="s">
        <v>161</v>
      </c>
      <c r="P25" s="80" t="s">
        <v>161</v>
      </c>
      <c r="Q25" s="80" t="s">
        <v>161</v>
      </c>
      <c r="R25" s="80" t="s">
        <v>161</v>
      </c>
      <c r="S25" s="82" t="n">
        <f aca="false">COUNTIF(H25:R25,"YES")</f>
        <v>0</v>
      </c>
      <c r="T25" s="80"/>
      <c r="U25" s="80"/>
      <c r="V25" s="80"/>
    </row>
    <row r="26" customFormat="false" ht="18" hidden="false" customHeight="true" outlineLevel="0" collapsed="false">
      <c r="B26" s="83" t="n">
        <v>22</v>
      </c>
      <c r="C26" s="84" t="s">
        <v>416</v>
      </c>
      <c r="D26" s="83" t="s">
        <v>417</v>
      </c>
      <c r="E26" s="83"/>
      <c r="F26" s="83"/>
      <c r="G26" s="83" t="s">
        <v>5</v>
      </c>
      <c r="H26" s="83" t="s">
        <v>161</v>
      </c>
      <c r="I26" s="83" t="s">
        <v>161</v>
      </c>
      <c r="J26" s="83" t="s">
        <v>161</v>
      </c>
      <c r="K26" s="83" t="s">
        <v>161</v>
      </c>
      <c r="L26" s="83" t="s">
        <v>161</v>
      </c>
      <c r="M26" s="83" t="s">
        <v>161</v>
      </c>
      <c r="N26" s="83" t="s">
        <v>161</v>
      </c>
      <c r="O26" s="83" t="s">
        <v>161</v>
      </c>
      <c r="P26" s="83" t="s">
        <v>161</v>
      </c>
      <c r="Q26" s="83" t="s">
        <v>161</v>
      </c>
      <c r="R26" s="83" t="s">
        <v>161</v>
      </c>
      <c r="S26" s="85" t="n">
        <f aca="false">COUNTIF(H26:R26,"YES")</f>
        <v>0</v>
      </c>
      <c r="T26" s="83"/>
      <c r="U26" s="83"/>
      <c r="V26" s="83"/>
    </row>
    <row r="27" customFormat="false" ht="18" hidden="false" customHeight="true" outlineLevel="0" collapsed="false">
      <c r="B27" s="80" t="n">
        <v>23</v>
      </c>
      <c r="C27" s="81" t="s">
        <v>418</v>
      </c>
      <c r="D27" s="80" t="s">
        <v>419</v>
      </c>
      <c r="E27" s="80"/>
      <c r="F27" s="80"/>
      <c r="G27" s="80" t="s">
        <v>5</v>
      </c>
      <c r="H27" s="80" t="s">
        <v>161</v>
      </c>
      <c r="I27" s="80" t="s">
        <v>161</v>
      </c>
      <c r="J27" s="80" t="s">
        <v>161</v>
      </c>
      <c r="K27" s="80" t="s">
        <v>161</v>
      </c>
      <c r="L27" s="80" t="s">
        <v>161</v>
      </c>
      <c r="M27" s="80" t="s">
        <v>161</v>
      </c>
      <c r="N27" s="80" t="s">
        <v>161</v>
      </c>
      <c r="O27" s="80" t="s">
        <v>161</v>
      </c>
      <c r="P27" s="80" t="s">
        <v>161</v>
      </c>
      <c r="Q27" s="80" t="s">
        <v>161</v>
      </c>
      <c r="R27" s="80" t="s">
        <v>161</v>
      </c>
      <c r="S27" s="82" t="n">
        <f aca="false">COUNTIF(H27:R27,"YES")</f>
        <v>0</v>
      </c>
      <c r="T27" s="80"/>
      <c r="U27" s="80"/>
      <c r="V27" s="80"/>
    </row>
    <row r="28" customFormat="false" ht="18" hidden="false" customHeight="true" outlineLevel="0" collapsed="false">
      <c r="B28" s="83" t="n">
        <v>24</v>
      </c>
      <c r="C28" s="84" t="s">
        <v>420</v>
      </c>
      <c r="D28" s="83" t="s">
        <v>421</v>
      </c>
      <c r="E28" s="83"/>
      <c r="F28" s="83"/>
      <c r="G28" s="83" t="s">
        <v>5</v>
      </c>
      <c r="H28" s="83" t="s">
        <v>161</v>
      </c>
      <c r="I28" s="83" t="s">
        <v>161</v>
      </c>
      <c r="J28" s="83" t="s">
        <v>161</v>
      </c>
      <c r="K28" s="83" t="s">
        <v>161</v>
      </c>
      <c r="L28" s="83" t="s">
        <v>161</v>
      </c>
      <c r="M28" s="83" t="s">
        <v>161</v>
      </c>
      <c r="N28" s="83" t="s">
        <v>161</v>
      </c>
      <c r="O28" s="83" t="s">
        <v>161</v>
      </c>
      <c r="P28" s="83" t="s">
        <v>161</v>
      </c>
      <c r="Q28" s="83" t="s">
        <v>161</v>
      </c>
      <c r="R28" s="83" t="s">
        <v>161</v>
      </c>
      <c r="S28" s="85" t="n">
        <f aca="false">COUNTIF(H28:R28,"YES")</f>
        <v>0</v>
      </c>
      <c r="T28" s="83"/>
      <c r="U28" s="83"/>
      <c r="V28" s="83"/>
    </row>
  </sheetData>
  <mergeCells count="1">
    <mergeCell ref="B2:V2"/>
  </mergeCells>
  <conditionalFormatting sqref="H5:R28">
    <cfRule type="cellIs" priority="2" operator="equal" aboveAverage="0" equalAverage="0" bottom="0" percent="0" rank="0" text="" dxfId="0">
      <formula>"YES"</formula>
    </cfRule>
  </conditionalFormatting>
  <conditionalFormatting sqref="G5:G2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422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423</v>
      </c>
      <c r="D5" s="80" t="s">
        <v>424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425</v>
      </c>
      <c r="D6" s="83" t="s">
        <v>426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427</v>
      </c>
      <c r="D7" s="80" t="s">
        <v>428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429</v>
      </c>
      <c r="D8" s="83" t="s">
        <v>430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431</v>
      </c>
      <c r="D9" s="80" t="s">
        <v>432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433</v>
      </c>
      <c r="D10" s="83" t="s">
        <v>434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435</v>
      </c>
      <c r="D11" s="80" t="s">
        <v>436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437</v>
      </c>
      <c r="D12" s="83" t="s">
        <v>438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439</v>
      </c>
      <c r="D13" s="80" t="s">
        <v>440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441</v>
      </c>
      <c r="D14" s="83" t="s">
        <v>442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443</v>
      </c>
      <c r="D15" s="80" t="s">
        <v>444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445</v>
      </c>
      <c r="D16" s="83" t="s">
        <v>446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447</v>
      </c>
      <c r="D17" s="80" t="s">
        <v>448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449</v>
      </c>
      <c r="D18" s="83" t="s">
        <v>450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451</v>
      </c>
      <c r="D19" s="80" t="s">
        <v>452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453</v>
      </c>
      <c r="D20" s="83" t="s">
        <v>454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455</v>
      </c>
      <c r="D21" s="80" t="s">
        <v>456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457</v>
      </c>
      <c r="D22" s="83" t="s">
        <v>458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459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460</v>
      </c>
      <c r="D5" s="80" t="s">
        <v>461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462</v>
      </c>
      <c r="D6" s="83" t="s">
        <v>463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464</v>
      </c>
      <c r="D7" s="80" t="s">
        <v>465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466</v>
      </c>
      <c r="D8" s="83" t="s">
        <v>467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468</v>
      </c>
      <c r="D9" s="80" t="s">
        <v>469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470</v>
      </c>
      <c r="D10" s="83" t="s">
        <v>471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472</v>
      </c>
      <c r="D11" s="80" t="s">
        <v>473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474</v>
      </c>
      <c r="D12" s="83" t="s">
        <v>475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476</v>
      </c>
      <c r="D13" s="80" t="s">
        <v>477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478</v>
      </c>
      <c r="D14" s="83" t="s">
        <v>479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480</v>
      </c>
      <c r="D15" s="80" t="s">
        <v>481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482</v>
      </c>
      <c r="D16" s="83" t="s">
        <v>483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484</v>
      </c>
      <c r="D17" s="80" t="s">
        <v>485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486</v>
      </c>
      <c r="D18" s="83" t="s">
        <v>487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488</v>
      </c>
      <c r="D19" s="80" t="s">
        <v>489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490</v>
      </c>
      <c r="D20" s="83" t="s">
        <v>491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492</v>
      </c>
      <c r="D21" s="80" t="s">
        <v>493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494</v>
      </c>
      <c r="D22" s="83" t="s">
        <v>495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496</v>
      </c>
      <c r="D23" s="80" t="s">
        <v>497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498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499</v>
      </c>
      <c r="D5" s="80" t="s">
        <v>500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501</v>
      </c>
      <c r="D6" s="83" t="s">
        <v>502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503</v>
      </c>
      <c r="D7" s="80" t="s">
        <v>504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505</v>
      </c>
      <c r="D8" s="83" t="s">
        <v>506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507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508</v>
      </c>
      <c r="D5" s="80" t="s">
        <v>509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510</v>
      </c>
      <c r="D6" s="83" t="s">
        <v>511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512</v>
      </c>
      <c r="D7" s="80" t="s">
        <v>513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514</v>
      </c>
      <c r="D8" s="83" t="s">
        <v>515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516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517</v>
      </c>
      <c r="D5" s="80" t="s">
        <v>518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519</v>
      </c>
      <c r="D6" s="83" t="s">
        <v>520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521</v>
      </c>
      <c r="D7" s="80" t="s">
        <v>522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523</v>
      </c>
      <c r="D8" s="83" t="s">
        <v>524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525</v>
      </c>
      <c r="D9" s="80" t="s">
        <v>526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527</v>
      </c>
      <c r="D10" s="83" t="s">
        <v>528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529</v>
      </c>
      <c r="D11" s="80" t="s">
        <v>530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531</v>
      </c>
      <c r="D12" s="83" t="s">
        <v>532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533</v>
      </c>
      <c r="D13" s="80" t="s">
        <v>534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535</v>
      </c>
      <c r="D14" s="83" t="s">
        <v>536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537</v>
      </c>
      <c r="D15" s="80" t="s">
        <v>538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539</v>
      </c>
      <c r="D16" s="83" t="s">
        <v>540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541</v>
      </c>
      <c r="D17" s="80" t="s">
        <v>542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543</v>
      </c>
      <c r="D18" s="83" t="s">
        <v>544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</sheetData>
  <mergeCells count="1">
    <mergeCell ref="B2:V2"/>
  </mergeCells>
  <conditionalFormatting sqref="H5:R18">
    <cfRule type="cellIs" priority="2" operator="equal" aboveAverage="0" equalAverage="0" bottom="0" percent="0" rank="0" text="" dxfId="0">
      <formula>"YES"</formula>
    </cfRule>
  </conditionalFormatting>
  <conditionalFormatting sqref="G5:G1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545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546</v>
      </c>
      <c r="D5" s="80" t="s">
        <v>547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548</v>
      </c>
      <c r="D6" s="83" t="s">
        <v>549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550</v>
      </c>
      <c r="D7" s="80" t="s">
        <v>551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552</v>
      </c>
      <c r="D8" s="83" t="s">
        <v>553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554</v>
      </c>
      <c r="D9" s="80" t="s">
        <v>555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556</v>
      </c>
      <c r="D10" s="83" t="s">
        <v>557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558</v>
      </c>
      <c r="D11" s="80" t="s">
        <v>559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560</v>
      </c>
      <c r="D12" s="83" t="s">
        <v>561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562</v>
      </c>
      <c r="D13" s="80" t="s">
        <v>563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564</v>
      </c>
      <c r="D14" s="83" t="s">
        <v>565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566</v>
      </c>
      <c r="D15" s="80" t="s">
        <v>567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568</v>
      </c>
      <c r="D16" s="83" t="s">
        <v>569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570</v>
      </c>
      <c r="D17" s="80" t="s">
        <v>571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</sheetData>
  <mergeCells count="1">
    <mergeCell ref="B2:V2"/>
  </mergeCells>
  <conditionalFormatting sqref="H5:R17">
    <cfRule type="cellIs" priority="2" operator="equal" aboveAverage="0" equalAverage="0" bottom="0" percent="0" rank="0" text="" dxfId="0">
      <formula>"YES"</formula>
    </cfRule>
  </conditionalFormatting>
  <conditionalFormatting sqref="G5:G17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7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7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572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573</v>
      </c>
      <c r="D5" s="80" t="s">
        <v>574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575</v>
      </c>
      <c r="D6" s="83" t="s">
        <v>576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577</v>
      </c>
      <c r="D7" s="80" t="s">
        <v>578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579</v>
      </c>
      <c r="D8" s="83" t="s">
        <v>580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581</v>
      </c>
      <c r="D9" s="80" t="s">
        <v>582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583</v>
      </c>
      <c r="D10" s="83" t="s">
        <v>584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585</v>
      </c>
      <c r="D11" s="80" t="s">
        <v>586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587</v>
      </c>
      <c r="D12" s="83" t="s">
        <v>588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589</v>
      </c>
      <c r="D13" s="80" t="s">
        <v>590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591</v>
      </c>
      <c r="D14" s="83" t="s">
        <v>592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</sheetData>
  <mergeCells count="1">
    <mergeCell ref="B2:V2"/>
  </mergeCells>
  <conditionalFormatting sqref="H5:R14">
    <cfRule type="cellIs" priority="2" operator="equal" aboveAverage="0" equalAverage="0" bottom="0" percent="0" rank="0" text="" dxfId="0">
      <formula>"YES"</formula>
    </cfRule>
  </conditionalFormatting>
  <conditionalFormatting sqref="G5:G14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4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4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593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594</v>
      </c>
      <c r="D5" s="80" t="s">
        <v>595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596</v>
      </c>
      <c r="D6" s="83" t="s">
        <v>597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</sheetData>
  <mergeCells count="1">
    <mergeCell ref="B2:V2"/>
  </mergeCells>
  <conditionalFormatting sqref="H5:R6">
    <cfRule type="cellIs" priority="2" operator="equal" aboveAverage="0" equalAverage="0" bottom="0" percent="0" rank="0" text="" dxfId="0">
      <formula>"YES"</formula>
    </cfRule>
  </conditionalFormatting>
  <conditionalFormatting sqref="G5:G6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6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6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598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599</v>
      </c>
      <c r="D5" s="80" t="s">
        <v>600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601</v>
      </c>
      <c r="D6" s="83" t="s">
        <v>602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603</v>
      </c>
      <c r="D7" s="80" t="s">
        <v>604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605</v>
      </c>
      <c r="D8" s="83" t="s">
        <v>606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607</v>
      </c>
      <c r="D9" s="80" t="s">
        <v>608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609</v>
      </c>
      <c r="D10" s="83" t="s">
        <v>610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611</v>
      </c>
      <c r="D11" s="80" t="s">
        <v>612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613</v>
      </c>
      <c r="D12" s="83" t="s">
        <v>614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615</v>
      </c>
      <c r="D13" s="80" t="s">
        <v>616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617</v>
      </c>
      <c r="D14" s="83" t="s">
        <v>618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619</v>
      </c>
      <c r="D15" s="80" t="s">
        <v>620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621</v>
      </c>
      <c r="D16" s="83" t="s">
        <v>622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623</v>
      </c>
      <c r="D17" s="80" t="s">
        <v>624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625</v>
      </c>
      <c r="D18" s="83" t="s">
        <v>626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627</v>
      </c>
      <c r="D19" s="80" t="s">
        <v>628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629</v>
      </c>
      <c r="D20" s="83" t="s">
        <v>630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631</v>
      </c>
      <c r="D21" s="80" t="s">
        <v>632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633</v>
      </c>
      <c r="D22" s="83" t="s">
        <v>634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635</v>
      </c>
      <c r="D23" s="80" t="s">
        <v>636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637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638</v>
      </c>
      <c r="D5" s="80" t="s">
        <v>639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640</v>
      </c>
      <c r="D6" s="83" t="s">
        <v>641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642</v>
      </c>
      <c r="D7" s="80" t="s">
        <v>643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644</v>
      </c>
      <c r="D8" s="83" t="s">
        <v>645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646</v>
      </c>
      <c r="D9" s="80" t="s">
        <v>647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648</v>
      </c>
      <c r="D10" s="83" t="s">
        <v>649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650</v>
      </c>
      <c r="D11" s="80" t="s">
        <v>651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652</v>
      </c>
      <c r="D12" s="83" t="s">
        <v>653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654</v>
      </c>
      <c r="D13" s="80" t="s">
        <v>655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656</v>
      </c>
      <c r="D14" s="83" t="s">
        <v>657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658</v>
      </c>
      <c r="D15" s="80" t="s">
        <v>659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660</v>
      </c>
      <c r="D16" s="83" t="s">
        <v>661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</sheetData>
  <mergeCells count="1">
    <mergeCell ref="B2:V2"/>
  </mergeCells>
  <conditionalFormatting sqref="H5:R16">
    <cfRule type="cellIs" priority="2" operator="equal" aboveAverage="0" equalAverage="0" bottom="0" percent="0" rank="0" text="" dxfId="0">
      <formula>"YES"</formula>
    </cfRule>
  </conditionalFormatting>
  <conditionalFormatting sqref="G5:G16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6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6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662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663</v>
      </c>
      <c r="D5" s="80" t="s">
        <v>664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665</v>
      </c>
      <c r="D6" s="83" t="s">
        <v>666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667</v>
      </c>
      <c r="D7" s="80" t="s">
        <v>668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669</v>
      </c>
      <c r="D8" s="83" t="s">
        <v>670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671</v>
      </c>
      <c r="D9" s="80" t="s">
        <v>672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673</v>
      </c>
      <c r="D10" s="83" t="s">
        <v>674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675</v>
      </c>
      <c r="D11" s="80" t="s">
        <v>676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677</v>
      </c>
      <c r="D12" s="83" t="s">
        <v>678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679</v>
      </c>
      <c r="D13" s="80" t="s">
        <v>680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681</v>
      </c>
      <c r="D14" s="83" t="s">
        <v>682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683</v>
      </c>
      <c r="D15" s="80" t="s">
        <v>684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685</v>
      </c>
      <c r="D16" s="83" t="s">
        <v>686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687</v>
      </c>
      <c r="D17" s="80" t="s">
        <v>688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689</v>
      </c>
      <c r="D18" s="83" t="s">
        <v>690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691</v>
      </c>
      <c r="D19" s="80" t="s">
        <v>692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693</v>
      </c>
      <c r="D20" s="83" t="s">
        <v>694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695</v>
      </c>
      <c r="D21" s="80" t="s">
        <v>696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</sheetData>
  <mergeCells count="1">
    <mergeCell ref="B2:V2"/>
  </mergeCells>
  <conditionalFormatting sqref="H5:R21">
    <cfRule type="cellIs" priority="2" operator="equal" aboveAverage="0" equalAverage="0" bottom="0" percent="0" rank="0" text="" dxfId="0">
      <formula>"YES"</formula>
    </cfRule>
  </conditionalFormatting>
  <conditionalFormatting sqref="G5:G21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1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1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697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698</v>
      </c>
      <c r="D5" s="80" t="s">
        <v>699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700</v>
      </c>
      <c r="D6" s="83" t="s">
        <v>701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702</v>
      </c>
      <c r="D7" s="80" t="s">
        <v>703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704</v>
      </c>
      <c r="D8" s="83" t="s">
        <v>705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706</v>
      </c>
      <c r="D9" s="80" t="s">
        <v>707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708</v>
      </c>
      <c r="D10" s="83" t="s">
        <v>709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710</v>
      </c>
      <c r="D11" s="80" t="s">
        <v>711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712</v>
      </c>
      <c r="D12" s="83" t="s">
        <v>713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714</v>
      </c>
      <c r="D13" s="80" t="s">
        <v>715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716</v>
      </c>
      <c r="D14" s="83" t="s">
        <v>717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718</v>
      </c>
      <c r="D15" s="80" t="s">
        <v>719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720</v>
      </c>
      <c r="D16" s="83" t="s">
        <v>721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722</v>
      </c>
      <c r="D17" s="80" t="s">
        <v>723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724</v>
      </c>
      <c r="D18" s="83" t="s">
        <v>725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726</v>
      </c>
      <c r="D19" s="80" t="s">
        <v>727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728</v>
      </c>
      <c r="D20" s="83" t="s">
        <v>729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730</v>
      </c>
      <c r="D21" s="80" t="s">
        <v>731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732</v>
      </c>
      <c r="D22" s="83" t="s">
        <v>733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734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735</v>
      </c>
      <c r="D5" s="80" t="s">
        <v>736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737</v>
      </c>
      <c r="D6" s="83" t="s">
        <v>738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739</v>
      </c>
      <c r="D7" s="80" t="s">
        <v>740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741</v>
      </c>
      <c r="D8" s="83" t="s">
        <v>742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743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744</v>
      </c>
      <c r="D5" s="80" t="s">
        <v>745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746</v>
      </c>
      <c r="D6" s="83" t="s">
        <v>747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748</v>
      </c>
      <c r="D7" s="80" t="s">
        <v>749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750</v>
      </c>
      <c r="D8" s="83" t="s">
        <v>751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752</v>
      </c>
      <c r="D9" s="80" t="s">
        <v>753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754</v>
      </c>
      <c r="D10" s="83" t="s">
        <v>755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756</v>
      </c>
      <c r="D11" s="80" t="s">
        <v>757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758</v>
      </c>
      <c r="D12" s="83" t="s">
        <v>759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760</v>
      </c>
      <c r="D13" s="80" t="s">
        <v>761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762</v>
      </c>
      <c r="D14" s="83" t="s">
        <v>763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764</v>
      </c>
      <c r="D15" s="80" t="s">
        <v>765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766</v>
      </c>
      <c r="D16" s="83" t="s">
        <v>767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768</v>
      </c>
      <c r="D17" s="80" t="s">
        <v>769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770</v>
      </c>
      <c r="D18" s="83" t="s">
        <v>771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772</v>
      </c>
      <c r="D19" s="80" t="s">
        <v>773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774</v>
      </c>
      <c r="D20" s="83" t="s">
        <v>775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</sheetData>
  <mergeCells count="1">
    <mergeCell ref="B2:V2"/>
  </mergeCells>
  <conditionalFormatting sqref="H5:R20">
    <cfRule type="cellIs" priority="2" operator="equal" aboveAverage="0" equalAverage="0" bottom="0" percent="0" rank="0" text="" dxfId="0">
      <formula>"YES"</formula>
    </cfRule>
  </conditionalFormatting>
  <conditionalFormatting sqref="G5:G20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0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0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776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777</v>
      </c>
      <c r="D5" s="80" t="s">
        <v>778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779</v>
      </c>
      <c r="D6" s="83" t="s">
        <v>780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781</v>
      </c>
      <c r="D7" s="80" t="s">
        <v>782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783</v>
      </c>
      <c r="D8" s="83" t="s">
        <v>784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785</v>
      </c>
      <c r="D9" s="80" t="s">
        <v>786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787</v>
      </c>
      <c r="D10" s="83" t="s">
        <v>788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789</v>
      </c>
      <c r="D11" s="80" t="s">
        <v>790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791</v>
      </c>
      <c r="D12" s="83" t="s">
        <v>792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793</v>
      </c>
      <c r="D13" s="80" t="s">
        <v>794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795</v>
      </c>
      <c r="D14" s="83" t="s">
        <v>796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797</v>
      </c>
      <c r="D15" s="80" t="s">
        <v>798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799</v>
      </c>
      <c r="D16" s="83" t="s">
        <v>800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801</v>
      </c>
      <c r="D17" s="80" t="s">
        <v>802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803</v>
      </c>
      <c r="D18" s="83" t="s">
        <v>804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</sheetData>
  <mergeCells count="1">
    <mergeCell ref="B2:V2"/>
  </mergeCells>
  <conditionalFormatting sqref="H5:R18">
    <cfRule type="cellIs" priority="2" operator="equal" aboveAverage="0" equalAverage="0" bottom="0" percent="0" rank="0" text="" dxfId="0">
      <formula>"YES"</formula>
    </cfRule>
  </conditionalFormatting>
  <conditionalFormatting sqref="G5:G1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805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806</v>
      </c>
      <c r="D5" s="80" t="s">
        <v>807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808</v>
      </c>
      <c r="D6" s="83" t="s">
        <v>809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810</v>
      </c>
      <c r="D7" s="80" t="s">
        <v>811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812</v>
      </c>
      <c r="D8" s="83" t="s">
        <v>813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814</v>
      </c>
      <c r="D9" s="80" t="s">
        <v>815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816</v>
      </c>
      <c r="D10" s="83" t="s">
        <v>817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</sheetData>
  <mergeCells count="1">
    <mergeCell ref="B2:V2"/>
  </mergeCells>
  <conditionalFormatting sqref="H5:R10">
    <cfRule type="cellIs" priority="2" operator="equal" aboveAverage="0" equalAverage="0" bottom="0" percent="0" rank="0" text="" dxfId="0">
      <formula>"YES"</formula>
    </cfRule>
  </conditionalFormatting>
  <conditionalFormatting sqref="G5:G10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0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0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818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819</v>
      </c>
      <c r="D5" s="80" t="s">
        <v>820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821</v>
      </c>
      <c r="D6" s="83" t="s">
        <v>822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823</v>
      </c>
      <c r="D7" s="80" t="s">
        <v>824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825</v>
      </c>
      <c r="D8" s="83" t="s">
        <v>826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827</v>
      </c>
      <c r="D9" s="80" t="s">
        <v>828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829</v>
      </c>
      <c r="D10" s="83" t="s">
        <v>830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831</v>
      </c>
      <c r="D11" s="80" t="s">
        <v>832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833</v>
      </c>
      <c r="D12" s="83" t="s">
        <v>834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835</v>
      </c>
      <c r="D13" s="80" t="s">
        <v>836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837</v>
      </c>
      <c r="D14" s="83" t="s">
        <v>838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839</v>
      </c>
      <c r="D15" s="80" t="s">
        <v>840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841</v>
      </c>
      <c r="D16" s="83" t="s">
        <v>842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843</v>
      </c>
      <c r="D17" s="80" t="s">
        <v>844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845</v>
      </c>
      <c r="D18" s="83" t="s">
        <v>846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847</v>
      </c>
      <c r="D19" s="80" t="s">
        <v>848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849</v>
      </c>
      <c r="D20" s="83" t="s">
        <v>850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851</v>
      </c>
      <c r="D21" s="80" t="s">
        <v>852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853</v>
      </c>
      <c r="D22" s="83" t="s">
        <v>854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855</v>
      </c>
      <c r="D23" s="80" t="s">
        <v>856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857</v>
      </c>
      <c r="D24" s="83" t="s">
        <v>858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  <row r="25" customFormat="false" ht="18" hidden="false" customHeight="true" outlineLevel="0" collapsed="false">
      <c r="B25" s="80" t="n">
        <v>21</v>
      </c>
      <c r="C25" s="81" t="s">
        <v>859</v>
      </c>
      <c r="D25" s="80" t="s">
        <v>860</v>
      </c>
      <c r="E25" s="80"/>
      <c r="F25" s="80"/>
      <c r="G25" s="80" t="s">
        <v>5</v>
      </c>
      <c r="H25" s="80" t="s">
        <v>161</v>
      </c>
      <c r="I25" s="80" t="s">
        <v>161</v>
      </c>
      <c r="J25" s="80" t="s">
        <v>161</v>
      </c>
      <c r="K25" s="80" t="s">
        <v>161</v>
      </c>
      <c r="L25" s="80" t="s">
        <v>161</v>
      </c>
      <c r="M25" s="80" t="s">
        <v>161</v>
      </c>
      <c r="N25" s="80" t="s">
        <v>161</v>
      </c>
      <c r="O25" s="80" t="s">
        <v>161</v>
      </c>
      <c r="P25" s="80" t="s">
        <v>161</v>
      </c>
      <c r="Q25" s="80" t="s">
        <v>161</v>
      </c>
      <c r="R25" s="80" t="s">
        <v>161</v>
      </c>
      <c r="S25" s="82" t="n">
        <f aca="false">COUNTIF(H25:R25,"YES")</f>
        <v>0</v>
      </c>
      <c r="T25" s="80"/>
      <c r="U25" s="80"/>
      <c r="V25" s="80"/>
    </row>
    <row r="26" customFormat="false" ht="18" hidden="false" customHeight="true" outlineLevel="0" collapsed="false">
      <c r="B26" s="83" t="n">
        <v>22</v>
      </c>
      <c r="C26" s="84" t="s">
        <v>861</v>
      </c>
      <c r="D26" s="83" t="s">
        <v>862</v>
      </c>
      <c r="E26" s="83"/>
      <c r="F26" s="83"/>
      <c r="G26" s="83" t="s">
        <v>5</v>
      </c>
      <c r="H26" s="83" t="s">
        <v>161</v>
      </c>
      <c r="I26" s="83" t="s">
        <v>161</v>
      </c>
      <c r="J26" s="83" t="s">
        <v>161</v>
      </c>
      <c r="K26" s="83" t="s">
        <v>161</v>
      </c>
      <c r="L26" s="83" t="s">
        <v>161</v>
      </c>
      <c r="M26" s="83" t="s">
        <v>161</v>
      </c>
      <c r="N26" s="83" t="s">
        <v>161</v>
      </c>
      <c r="O26" s="83" t="s">
        <v>161</v>
      </c>
      <c r="P26" s="83" t="s">
        <v>161</v>
      </c>
      <c r="Q26" s="83" t="s">
        <v>161</v>
      </c>
      <c r="R26" s="83" t="s">
        <v>161</v>
      </c>
      <c r="S26" s="85" t="n">
        <f aca="false">COUNTIF(H26:R26,"YES")</f>
        <v>0</v>
      </c>
      <c r="T26" s="83"/>
      <c r="U26" s="83"/>
      <c r="V26" s="83"/>
    </row>
  </sheetData>
  <mergeCells count="1">
    <mergeCell ref="B2:V2"/>
  </mergeCells>
  <conditionalFormatting sqref="H5:R26">
    <cfRule type="cellIs" priority="2" operator="equal" aboveAverage="0" equalAverage="0" bottom="0" percent="0" rank="0" text="" dxfId="0">
      <formula>"YES"</formula>
    </cfRule>
  </conditionalFormatting>
  <conditionalFormatting sqref="G5:G26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6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6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863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864</v>
      </c>
      <c r="D5" s="80" t="s">
        <v>865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866</v>
      </c>
      <c r="D6" s="83" t="s">
        <v>867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868</v>
      </c>
      <c r="D7" s="80" t="s">
        <v>869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870</v>
      </c>
      <c r="D8" s="83" t="s">
        <v>871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872</v>
      </c>
      <c r="D9" s="80" t="s">
        <v>873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874</v>
      </c>
      <c r="D10" s="83" t="s">
        <v>875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876</v>
      </c>
      <c r="D11" s="80" t="s">
        <v>877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878</v>
      </c>
      <c r="D12" s="83" t="s">
        <v>879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880</v>
      </c>
      <c r="D13" s="80" t="s">
        <v>881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882</v>
      </c>
      <c r="D14" s="83" t="s">
        <v>883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884</v>
      </c>
      <c r="D15" s="80" t="s">
        <v>885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886</v>
      </c>
      <c r="D16" s="83" t="s">
        <v>887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888</v>
      </c>
      <c r="D17" s="80" t="s">
        <v>889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890</v>
      </c>
      <c r="D18" s="83" t="s">
        <v>891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892</v>
      </c>
      <c r="D19" s="80" t="s">
        <v>893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894</v>
      </c>
      <c r="D20" s="83" t="s">
        <v>895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896</v>
      </c>
      <c r="D21" s="80" t="s">
        <v>897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898</v>
      </c>
      <c r="D22" s="83" t="s">
        <v>899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900</v>
      </c>
      <c r="D23" s="80" t="s">
        <v>901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902</v>
      </c>
      <c r="D24" s="83" t="s">
        <v>903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</sheetData>
  <mergeCells count="1">
    <mergeCell ref="B2:V2"/>
  </mergeCells>
  <conditionalFormatting sqref="H5:R24">
    <cfRule type="cellIs" priority="2" operator="equal" aboveAverage="0" equalAverage="0" bottom="0" percent="0" rank="0" text="" dxfId="0">
      <formula>"YES"</formula>
    </cfRule>
  </conditionalFormatting>
  <conditionalFormatting sqref="G5:G24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4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4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904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905</v>
      </c>
      <c r="D5" s="80" t="s">
        <v>906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907</v>
      </c>
      <c r="D6" s="83" t="s">
        <v>908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909</v>
      </c>
      <c r="D7" s="80" t="s">
        <v>910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911</v>
      </c>
      <c r="D8" s="83" t="s">
        <v>912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913</v>
      </c>
      <c r="D9" s="80" t="s">
        <v>914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915</v>
      </c>
      <c r="D10" s="83" t="s">
        <v>916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917</v>
      </c>
      <c r="D11" s="80" t="s">
        <v>918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919</v>
      </c>
      <c r="D12" s="83" t="s">
        <v>920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921</v>
      </c>
      <c r="D13" s="80" t="s">
        <v>922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923</v>
      </c>
      <c r="D14" s="83" t="s">
        <v>924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925</v>
      </c>
      <c r="D15" s="80" t="s">
        <v>926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927</v>
      </c>
      <c r="D16" s="83" t="s">
        <v>928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929</v>
      </c>
      <c r="D17" s="80" t="s">
        <v>930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931</v>
      </c>
      <c r="D18" s="83" t="s">
        <v>932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</sheetData>
  <mergeCells count="1">
    <mergeCell ref="B2:V2"/>
  </mergeCells>
  <conditionalFormatting sqref="H5:R18">
    <cfRule type="cellIs" priority="2" operator="equal" aboveAverage="0" equalAverage="0" bottom="0" percent="0" rank="0" text="" dxfId="0">
      <formula>"YES"</formula>
    </cfRule>
  </conditionalFormatting>
  <conditionalFormatting sqref="G5:G1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933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934</v>
      </c>
      <c r="D5" s="80" t="s">
        <v>935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936</v>
      </c>
      <c r="D6" s="83" t="s">
        <v>937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938</v>
      </c>
      <c r="D7" s="80" t="s">
        <v>939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940</v>
      </c>
      <c r="D8" s="83" t="s">
        <v>941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942</v>
      </c>
      <c r="D9" s="80" t="s">
        <v>943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944</v>
      </c>
      <c r="D10" s="83" t="s">
        <v>945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946</v>
      </c>
      <c r="D11" s="80" t="s">
        <v>947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948</v>
      </c>
      <c r="D12" s="83" t="s">
        <v>949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950</v>
      </c>
      <c r="D13" s="80" t="s">
        <v>951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952</v>
      </c>
      <c r="D14" s="83" t="s">
        <v>953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954</v>
      </c>
      <c r="D15" s="80" t="s">
        <v>955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956</v>
      </c>
      <c r="D16" s="83" t="s">
        <v>957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958</v>
      </c>
      <c r="D17" s="80" t="s">
        <v>959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960</v>
      </c>
      <c r="D18" s="83" t="s">
        <v>961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962</v>
      </c>
      <c r="D19" s="80" t="s">
        <v>963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964</v>
      </c>
      <c r="D20" s="83" t="s">
        <v>965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966</v>
      </c>
      <c r="D21" s="80" t="s">
        <v>967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968</v>
      </c>
      <c r="D22" s="83" t="s">
        <v>969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970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971</v>
      </c>
      <c r="D5" s="80" t="s">
        <v>972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973</v>
      </c>
      <c r="D6" s="83" t="s">
        <v>974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975</v>
      </c>
      <c r="D7" s="80" t="s">
        <v>976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977</v>
      </c>
      <c r="D8" s="83" t="s">
        <v>978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979</v>
      </c>
      <c r="D9" s="80" t="s">
        <v>980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981</v>
      </c>
      <c r="D10" s="83" t="s">
        <v>982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983</v>
      </c>
      <c r="D11" s="80" t="s">
        <v>984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985</v>
      </c>
      <c r="D12" s="83" t="s">
        <v>986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987</v>
      </c>
      <c r="D13" s="80" t="s">
        <v>988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989</v>
      </c>
      <c r="D14" s="83" t="s">
        <v>990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991</v>
      </c>
      <c r="D15" s="80" t="s">
        <v>992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993</v>
      </c>
      <c r="D16" s="83" t="s">
        <v>994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995</v>
      </c>
      <c r="D17" s="80" t="s">
        <v>996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997</v>
      </c>
      <c r="D18" s="83" t="s">
        <v>998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999</v>
      </c>
      <c r="D19" s="80" t="s">
        <v>1000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1001</v>
      </c>
      <c r="D20" s="83" t="s">
        <v>1002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</sheetData>
  <mergeCells count="1">
    <mergeCell ref="B2:V2"/>
  </mergeCells>
  <conditionalFormatting sqref="H5:R20">
    <cfRule type="cellIs" priority="2" operator="equal" aboveAverage="0" equalAverage="0" bottom="0" percent="0" rank="0" text="" dxfId="0">
      <formula>"YES"</formula>
    </cfRule>
  </conditionalFormatting>
  <conditionalFormatting sqref="G5:G20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0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0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1003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1004</v>
      </c>
      <c r="D5" s="80" t="s">
        <v>1005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1006</v>
      </c>
      <c r="D6" s="83" t="s">
        <v>1007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1008</v>
      </c>
      <c r="D7" s="80" t="s">
        <v>1009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1010</v>
      </c>
      <c r="D8" s="83" t="s">
        <v>1011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1012</v>
      </c>
      <c r="D9" s="80" t="s">
        <v>1013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1014</v>
      </c>
      <c r="D10" s="83" t="s">
        <v>1015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1016</v>
      </c>
      <c r="D11" s="80" t="s">
        <v>1017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1018</v>
      </c>
      <c r="D12" s="83" t="s">
        <v>1019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1020</v>
      </c>
      <c r="D13" s="80" t="s">
        <v>1021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1022</v>
      </c>
      <c r="D14" s="83" t="s">
        <v>1023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1024</v>
      </c>
      <c r="D15" s="80" t="s">
        <v>1025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1026</v>
      </c>
      <c r="D16" s="83" t="s">
        <v>1027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1028</v>
      </c>
      <c r="D17" s="80" t="s">
        <v>1029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1030</v>
      </c>
      <c r="D18" s="83" t="s">
        <v>1031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1032</v>
      </c>
      <c r="D19" s="80" t="s">
        <v>1033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1034</v>
      </c>
      <c r="D20" s="83" t="s">
        <v>1035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</sheetData>
  <mergeCells count="1">
    <mergeCell ref="B2:V2"/>
  </mergeCells>
  <conditionalFormatting sqref="H5:R20">
    <cfRule type="cellIs" priority="2" operator="equal" aboveAverage="0" equalAverage="0" bottom="0" percent="0" rank="0" text="" dxfId="0">
      <formula>"YES"</formula>
    </cfRule>
  </conditionalFormatting>
  <conditionalFormatting sqref="G5:G20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0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0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1036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1037</v>
      </c>
      <c r="D5" s="80" t="s">
        <v>1038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1039</v>
      </c>
      <c r="D6" s="83" t="s">
        <v>1040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1041</v>
      </c>
      <c r="D7" s="80" t="s">
        <v>1042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1043</v>
      </c>
      <c r="D8" s="83" t="s">
        <v>1044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1045</v>
      </c>
      <c r="D9" s="80" t="s">
        <v>1046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1047</v>
      </c>
      <c r="D10" s="83" t="s">
        <v>1048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1049</v>
      </c>
      <c r="D11" s="80" t="s">
        <v>1050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1051</v>
      </c>
      <c r="D12" s="83" t="s">
        <v>1052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1053</v>
      </c>
      <c r="D13" s="80" t="s">
        <v>1054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1055</v>
      </c>
      <c r="D14" s="83" t="s">
        <v>1056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1057</v>
      </c>
      <c r="D15" s="80" t="s">
        <v>1058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1059</v>
      </c>
      <c r="D16" s="83" t="s">
        <v>1060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1061</v>
      </c>
      <c r="D17" s="80" t="s">
        <v>1062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1063</v>
      </c>
      <c r="D18" s="83" t="s">
        <v>1064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1065</v>
      </c>
      <c r="D19" s="80" t="s">
        <v>1066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</sheetData>
  <mergeCells count="1">
    <mergeCell ref="B2:V2"/>
  </mergeCells>
  <conditionalFormatting sqref="H5:R19">
    <cfRule type="cellIs" priority="2" operator="equal" aboveAverage="0" equalAverage="0" bottom="0" percent="0" rank="0" text="" dxfId="0">
      <formula>"YES"</formula>
    </cfRule>
  </conditionalFormatting>
  <conditionalFormatting sqref="G5:G19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9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9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1067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1068</v>
      </c>
      <c r="D5" s="80" t="s">
        <v>1069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1070</v>
      </c>
      <c r="D6" s="83" t="s">
        <v>1071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1072</v>
      </c>
      <c r="D7" s="80" t="s">
        <v>1073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1074</v>
      </c>
      <c r="D8" s="83" t="s">
        <v>1075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1076</v>
      </c>
      <c r="D9" s="80" t="s">
        <v>1077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1078</v>
      </c>
      <c r="D10" s="83" t="s">
        <v>1079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1080</v>
      </c>
      <c r="D11" s="80" t="s">
        <v>1081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1082</v>
      </c>
      <c r="D12" s="83" t="s">
        <v>1083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1084</v>
      </c>
      <c r="D13" s="80" t="s">
        <v>1085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1086</v>
      </c>
      <c r="D14" s="83" t="s">
        <v>1087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1088</v>
      </c>
      <c r="D15" s="80" t="s">
        <v>1089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1090</v>
      </c>
      <c r="D16" s="83" t="s">
        <v>1091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1092</v>
      </c>
      <c r="D17" s="80" t="s">
        <v>1093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1094</v>
      </c>
      <c r="D18" s="83" t="s">
        <v>1095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1096</v>
      </c>
      <c r="D19" s="80" t="s">
        <v>1097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1098</v>
      </c>
      <c r="D20" s="83" t="s">
        <v>1099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1100</v>
      </c>
      <c r="D21" s="80" t="s">
        <v>1101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1102</v>
      </c>
      <c r="D22" s="83" t="s">
        <v>1103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1104</v>
      </c>
      <c r="D23" s="80" t="s">
        <v>1105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1106</v>
      </c>
      <c r="D24" s="83" t="s">
        <v>1107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  <row r="25" customFormat="false" ht="18" hidden="false" customHeight="true" outlineLevel="0" collapsed="false">
      <c r="B25" s="80" t="n">
        <v>21</v>
      </c>
      <c r="C25" s="81" t="s">
        <v>1108</v>
      </c>
      <c r="D25" s="80" t="s">
        <v>1109</v>
      </c>
      <c r="E25" s="80"/>
      <c r="F25" s="80"/>
      <c r="G25" s="80" t="s">
        <v>5</v>
      </c>
      <c r="H25" s="80" t="s">
        <v>161</v>
      </c>
      <c r="I25" s="80" t="s">
        <v>161</v>
      </c>
      <c r="J25" s="80" t="s">
        <v>161</v>
      </c>
      <c r="K25" s="80" t="s">
        <v>161</v>
      </c>
      <c r="L25" s="80" t="s">
        <v>161</v>
      </c>
      <c r="M25" s="80" t="s">
        <v>161</v>
      </c>
      <c r="N25" s="80" t="s">
        <v>161</v>
      </c>
      <c r="O25" s="80" t="s">
        <v>161</v>
      </c>
      <c r="P25" s="80" t="s">
        <v>161</v>
      </c>
      <c r="Q25" s="80" t="s">
        <v>161</v>
      </c>
      <c r="R25" s="80" t="s">
        <v>161</v>
      </c>
      <c r="S25" s="82" t="n">
        <f aca="false">COUNTIF(H25:R25,"YES")</f>
        <v>0</v>
      </c>
      <c r="T25" s="80"/>
      <c r="U25" s="80"/>
      <c r="V25" s="80"/>
    </row>
  </sheetData>
  <mergeCells count="1">
    <mergeCell ref="B2:V2"/>
  </mergeCells>
  <conditionalFormatting sqref="H5:R25">
    <cfRule type="cellIs" priority="2" operator="equal" aboveAverage="0" equalAverage="0" bottom="0" percent="0" rank="0" text="" dxfId="0">
      <formula>"YES"</formula>
    </cfRule>
  </conditionalFormatting>
  <conditionalFormatting sqref="G5:G25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5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5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1110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1111</v>
      </c>
      <c r="D5" s="80" t="s">
        <v>1112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1113</v>
      </c>
      <c r="D6" s="83" t="s">
        <v>1114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1115</v>
      </c>
      <c r="D7" s="80" t="s">
        <v>1116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1117</v>
      </c>
      <c r="D8" s="83" t="s">
        <v>1118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1119</v>
      </c>
      <c r="D9" s="80" t="s">
        <v>1120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1121</v>
      </c>
      <c r="D10" s="83" t="s">
        <v>1122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1123</v>
      </c>
      <c r="D11" s="80" t="s">
        <v>1124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1125</v>
      </c>
      <c r="D12" s="83" t="s">
        <v>1126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1127</v>
      </c>
      <c r="D13" s="80" t="s">
        <v>1128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1129</v>
      </c>
      <c r="D14" s="83" t="s">
        <v>1130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1131</v>
      </c>
      <c r="D15" s="80" t="s">
        <v>1132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1133</v>
      </c>
      <c r="D16" s="83" t="s">
        <v>1134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1135</v>
      </c>
      <c r="D17" s="80" t="s">
        <v>1136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1137</v>
      </c>
      <c r="D18" s="83" t="s">
        <v>1138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1139</v>
      </c>
      <c r="D19" s="80" t="s">
        <v>1140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1141</v>
      </c>
      <c r="D20" s="83" t="s">
        <v>1142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1143</v>
      </c>
      <c r="D21" s="80" t="s">
        <v>1144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1145</v>
      </c>
      <c r="D22" s="83" t="s">
        <v>1146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1147</v>
      </c>
      <c r="D23" s="80" t="s">
        <v>1148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1149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1150</v>
      </c>
      <c r="D5" s="80" t="s">
        <v>1151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1152</v>
      </c>
      <c r="D6" s="83" t="s">
        <v>1153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1154</v>
      </c>
      <c r="D7" s="80" t="s">
        <v>1155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1156</v>
      </c>
      <c r="D8" s="83" t="s">
        <v>1157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1158</v>
      </c>
      <c r="D9" s="80" t="s">
        <v>1159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1160</v>
      </c>
      <c r="D10" s="83" t="s">
        <v>1161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1162</v>
      </c>
      <c r="D11" s="80" t="s">
        <v>1163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1164</v>
      </c>
      <c r="D12" s="83" t="s">
        <v>1165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1166</v>
      </c>
      <c r="D13" s="80" t="s">
        <v>1167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1168</v>
      </c>
      <c r="D14" s="83" t="s">
        <v>1169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1170</v>
      </c>
      <c r="D15" s="80" t="s">
        <v>1171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</sheetData>
  <mergeCells count="1">
    <mergeCell ref="B2:V2"/>
  </mergeCells>
  <conditionalFormatting sqref="H5:R15">
    <cfRule type="cellIs" priority="2" operator="equal" aboveAverage="0" equalAverage="0" bottom="0" percent="0" rank="0" text="" dxfId="0">
      <formula>"YES"</formula>
    </cfRule>
  </conditionalFormatting>
  <conditionalFormatting sqref="G5:G15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5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5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1172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1173</v>
      </c>
      <c r="D5" s="80" t="s">
        <v>1174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1175</v>
      </c>
      <c r="D6" s="83" t="s">
        <v>1176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1177</v>
      </c>
      <c r="D7" s="80" t="s">
        <v>1178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1179</v>
      </c>
      <c r="D8" s="83" t="s">
        <v>1180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1181</v>
      </c>
      <c r="D9" s="80" t="s">
        <v>1182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1183</v>
      </c>
      <c r="D10" s="83" t="s">
        <v>1184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1185</v>
      </c>
      <c r="D11" s="80" t="s">
        <v>1186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1187</v>
      </c>
      <c r="D12" s="83" t="s">
        <v>1188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1189</v>
      </c>
      <c r="D13" s="80" t="s">
        <v>1190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1191</v>
      </c>
      <c r="D14" s="83" t="s">
        <v>1192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1193</v>
      </c>
      <c r="D15" s="80" t="s">
        <v>1194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1195</v>
      </c>
      <c r="D16" s="83" t="s">
        <v>1196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1197</v>
      </c>
      <c r="D17" s="80" t="s">
        <v>1198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1199</v>
      </c>
      <c r="D18" s="83" t="s">
        <v>1200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1201</v>
      </c>
      <c r="D19" s="80" t="s">
        <v>1202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1203</v>
      </c>
      <c r="D20" s="83" t="s">
        <v>1204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1205</v>
      </c>
      <c r="D21" s="80" t="s">
        <v>1206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1207</v>
      </c>
      <c r="D22" s="83" t="s">
        <v>1208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1209</v>
      </c>
      <c r="D23" s="80" t="s">
        <v>1210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  <row r="24" customFormat="false" ht="18" hidden="false" customHeight="true" outlineLevel="0" collapsed="false">
      <c r="B24" s="83" t="n">
        <v>20</v>
      </c>
      <c r="C24" s="84" t="s">
        <v>1211</v>
      </c>
      <c r="D24" s="83" t="s">
        <v>1212</v>
      </c>
      <c r="E24" s="83"/>
      <c r="F24" s="83"/>
      <c r="G24" s="83" t="s">
        <v>5</v>
      </c>
      <c r="H24" s="83" t="s">
        <v>161</v>
      </c>
      <c r="I24" s="83" t="s">
        <v>161</v>
      </c>
      <c r="J24" s="83" t="s">
        <v>161</v>
      </c>
      <c r="K24" s="83" t="s">
        <v>161</v>
      </c>
      <c r="L24" s="83" t="s">
        <v>161</v>
      </c>
      <c r="M24" s="83" t="s">
        <v>161</v>
      </c>
      <c r="N24" s="83" t="s">
        <v>161</v>
      </c>
      <c r="O24" s="83" t="s">
        <v>161</v>
      </c>
      <c r="P24" s="83" t="s">
        <v>161</v>
      </c>
      <c r="Q24" s="83" t="s">
        <v>161</v>
      </c>
      <c r="R24" s="83" t="s">
        <v>161</v>
      </c>
      <c r="S24" s="85" t="n">
        <f aca="false">COUNTIF(H24:R24,"YES")</f>
        <v>0</v>
      </c>
      <c r="T24" s="83"/>
      <c r="U24" s="83"/>
      <c r="V24" s="83"/>
    </row>
  </sheetData>
  <mergeCells count="1">
    <mergeCell ref="B2:V2"/>
  </mergeCells>
  <conditionalFormatting sqref="H5:R24">
    <cfRule type="cellIs" priority="2" operator="equal" aboveAverage="0" equalAverage="0" bottom="0" percent="0" rank="0" text="" dxfId="0">
      <formula>"YES"</formula>
    </cfRule>
  </conditionalFormatting>
  <conditionalFormatting sqref="G5:G24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4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4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1213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1214</v>
      </c>
      <c r="D5" s="80" t="s">
        <v>1215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1216</v>
      </c>
      <c r="D6" s="83" t="s">
        <v>1217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1218</v>
      </c>
      <c r="D7" s="80" t="s">
        <v>1219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1220</v>
      </c>
      <c r="D8" s="83" t="s">
        <v>1221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1222</v>
      </c>
      <c r="D9" s="80" t="s">
        <v>1223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1224</v>
      </c>
      <c r="D10" s="83" t="s">
        <v>1225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1226</v>
      </c>
      <c r="D11" s="80" t="s">
        <v>1227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1228</v>
      </c>
      <c r="D12" s="83" t="s">
        <v>1229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1230</v>
      </c>
      <c r="D13" s="80" t="s">
        <v>1231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1232</v>
      </c>
      <c r="D14" s="83" t="s">
        <v>1233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1234</v>
      </c>
      <c r="D15" s="80" t="s">
        <v>1235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1236</v>
      </c>
      <c r="D16" s="83" t="s">
        <v>1237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1238</v>
      </c>
      <c r="D17" s="80" t="s">
        <v>1239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1240</v>
      </c>
      <c r="D18" s="83" t="s">
        <v>1241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1242</v>
      </c>
      <c r="D19" s="80" t="s">
        <v>1243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1244</v>
      </c>
      <c r="D20" s="83" t="s">
        <v>1245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</sheetData>
  <mergeCells count="1">
    <mergeCell ref="B2:V2"/>
  </mergeCells>
  <conditionalFormatting sqref="H5:R20">
    <cfRule type="cellIs" priority="2" operator="equal" aboveAverage="0" equalAverage="0" bottom="0" percent="0" rank="0" text="" dxfId="0">
      <formula>"YES"</formula>
    </cfRule>
  </conditionalFormatting>
  <conditionalFormatting sqref="G5:G20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0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0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1246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1247</v>
      </c>
      <c r="D5" s="80" t="s">
        <v>1248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1249</v>
      </c>
      <c r="D6" s="83" t="s">
        <v>1250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</sheetData>
  <mergeCells count="1">
    <mergeCell ref="B2:V2"/>
  </mergeCells>
  <conditionalFormatting sqref="H5:R6">
    <cfRule type="cellIs" priority="2" operator="equal" aboveAverage="0" equalAverage="0" bottom="0" percent="0" rank="0" text="" dxfId="0">
      <formula>"YES"</formula>
    </cfRule>
  </conditionalFormatting>
  <conditionalFormatting sqref="G5:G6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6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6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1251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1252</v>
      </c>
      <c r="D5" s="80" t="s">
        <v>1253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1254</v>
      </c>
      <c r="D6" s="83" t="s">
        <v>1255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1256</v>
      </c>
      <c r="D7" s="80" t="s">
        <v>1257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</sheetData>
  <mergeCells count="1">
    <mergeCell ref="B2:V2"/>
  </mergeCells>
  <conditionalFormatting sqref="H5:R7">
    <cfRule type="cellIs" priority="2" operator="equal" aboveAverage="0" equalAverage="0" bottom="0" percent="0" rank="0" text="" dxfId="0">
      <formula>"YES"</formula>
    </cfRule>
  </conditionalFormatting>
  <conditionalFormatting sqref="G5:G7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7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7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1258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1259</v>
      </c>
      <c r="D5" s="80" t="s">
        <v>1260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1261</v>
      </c>
      <c r="D6" s="83" t="s">
        <v>1262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1263</v>
      </c>
      <c r="D7" s="80" t="s">
        <v>1264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1265</v>
      </c>
      <c r="D8" s="83" t="s">
        <v>1266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1267</v>
      </c>
      <c r="D9" s="80" t="s">
        <v>1268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1269</v>
      </c>
      <c r="D10" s="83" t="s">
        <v>1270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1271</v>
      </c>
      <c r="D11" s="80" t="s">
        <v>1272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1273</v>
      </c>
      <c r="D12" s="83" t="s">
        <v>1274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1275</v>
      </c>
      <c r="D13" s="80" t="s">
        <v>1276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1277</v>
      </c>
      <c r="D14" s="83" t="s">
        <v>1278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1279</v>
      </c>
      <c r="D15" s="80" t="s">
        <v>1280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1281</v>
      </c>
      <c r="D16" s="83" t="s">
        <v>1282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1283</v>
      </c>
      <c r="D17" s="80" t="s">
        <v>1284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1285</v>
      </c>
      <c r="D18" s="83" t="s">
        <v>1286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1287</v>
      </c>
      <c r="D19" s="80" t="s">
        <v>1288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1289</v>
      </c>
      <c r="D20" s="83" t="s">
        <v>1290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1291</v>
      </c>
      <c r="D21" s="80" t="s">
        <v>1292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1293</v>
      </c>
      <c r="D22" s="83" t="s">
        <v>1294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1295</v>
      </c>
      <c r="D23" s="80" t="s">
        <v>1296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1297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1298</v>
      </c>
      <c r="D5" s="80" t="s">
        <v>1299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1300</v>
      </c>
      <c r="D6" s="83" t="s">
        <v>1301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1302</v>
      </c>
      <c r="D7" s="80" t="s">
        <v>1303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1304</v>
      </c>
      <c r="D8" s="83" t="s">
        <v>1305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1306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1307</v>
      </c>
      <c r="D5" s="80" t="s">
        <v>1308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1309</v>
      </c>
      <c r="D6" s="83" t="s">
        <v>1310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1311</v>
      </c>
      <c r="D7" s="80" t="s">
        <v>1312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1313</v>
      </c>
      <c r="D8" s="83" t="s">
        <v>1314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1315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1316</v>
      </c>
      <c r="D5" s="80" t="s">
        <v>1317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1318</v>
      </c>
      <c r="D6" s="83" t="s">
        <v>1319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1320</v>
      </c>
      <c r="D7" s="80" t="s">
        <v>1321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</sheetData>
  <mergeCells count="1">
    <mergeCell ref="B2:V2"/>
  </mergeCells>
  <conditionalFormatting sqref="H5:R7">
    <cfRule type="cellIs" priority="2" operator="equal" aboveAverage="0" equalAverage="0" bottom="0" percent="0" rank="0" text="" dxfId="0">
      <formula>"YES"</formula>
    </cfRule>
  </conditionalFormatting>
  <conditionalFormatting sqref="G5:G7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7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7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1322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1323</v>
      </c>
      <c r="D5" s="80" t="s">
        <v>1324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1325</v>
      </c>
      <c r="D6" s="83" t="s">
        <v>1326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1327</v>
      </c>
      <c r="D7" s="80" t="s">
        <v>1328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1329</v>
      </c>
      <c r="D8" s="83" t="s">
        <v>1330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1331</v>
      </c>
      <c r="D9" s="80" t="s">
        <v>1332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1333</v>
      </c>
      <c r="D10" s="83" t="s">
        <v>1334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1335</v>
      </c>
      <c r="D11" s="80" t="s">
        <v>1336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1337</v>
      </c>
      <c r="D12" s="83" t="s">
        <v>1338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1339</v>
      </c>
      <c r="D13" s="80" t="s">
        <v>1340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1341</v>
      </c>
      <c r="D14" s="83" t="s">
        <v>1342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1343</v>
      </c>
      <c r="D15" s="80" t="s">
        <v>1344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1345</v>
      </c>
      <c r="D16" s="83" t="s">
        <v>1346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1347</v>
      </c>
      <c r="D17" s="80" t="s">
        <v>1348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1349</v>
      </c>
      <c r="D18" s="83" t="s">
        <v>1350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1351</v>
      </c>
      <c r="D19" s="80" t="s">
        <v>1352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1353</v>
      </c>
      <c r="D20" s="83" t="s">
        <v>1354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1355</v>
      </c>
      <c r="D21" s="80" t="s">
        <v>1356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1357</v>
      </c>
      <c r="D22" s="83" t="s">
        <v>1358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1359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1360</v>
      </c>
      <c r="D5" s="80" t="s">
        <v>1361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1362</v>
      </c>
      <c r="D6" s="83" t="s">
        <v>1363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1364</v>
      </c>
      <c r="D7" s="80" t="s">
        <v>1365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1366</v>
      </c>
      <c r="D8" s="83" t="s">
        <v>1367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1368</v>
      </c>
      <c r="D9" s="80" t="s">
        <v>1369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1370</v>
      </c>
      <c r="D10" s="83" t="s">
        <v>1371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1372</v>
      </c>
      <c r="D11" s="80" t="s">
        <v>1373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1374</v>
      </c>
      <c r="D12" s="83" t="s">
        <v>1375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1376</v>
      </c>
      <c r="D13" s="80" t="s">
        <v>1377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1378</v>
      </c>
      <c r="D14" s="83" t="s">
        <v>1379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1380</v>
      </c>
      <c r="D15" s="80" t="s">
        <v>1381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1382</v>
      </c>
      <c r="D16" s="83" t="s">
        <v>1383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1384</v>
      </c>
      <c r="D17" s="80" t="s">
        <v>1385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</sheetData>
  <mergeCells count="1">
    <mergeCell ref="B2:V2"/>
  </mergeCells>
  <conditionalFormatting sqref="H5:R17">
    <cfRule type="cellIs" priority="2" operator="equal" aboveAverage="0" equalAverage="0" bottom="0" percent="0" rank="0" text="" dxfId="0">
      <formula>"YES"</formula>
    </cfRule>
  </conditionalFormatting>
  <conditionalFormatting sqref="G5:G17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7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7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1386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1387</v>
      </c>
      <c r="D5" s="80" t="s">
        <v>1388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1389</v>
      </c>
      <c r="D6" s="83" t="s">
        <v>1390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1391</v>
      </c>
      <c r="D7" s="80" t="s">
        <v>1392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1393</v>
      </c>
      <c r="D8" s="83" t="s">
        <v>1394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1395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1396</v>
      </c>
      <c r="D5" s="80" t="s">
        <v>1397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1398</v>
      </c>
      <c r="D6" s="83" t="s">
        <v>1399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1400</v>
      </c>
      <c r="D7" s="80" t="s">
        <v>1401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1402</v>
      </c>
      <c r="D8" s="83" t="s">
        <v>1403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1404</v>
      </c>
      <c r="D9" s="80" t="s">
        <v>1405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1406</v>
      </c>
      <c r="D10" s="83" t="s">
        <v>1407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1408</v>
      </c>
      <c r="D11" s="80" t="s">
        <v>1409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1410</v>
      </c>
      <c r="D12" s="83" t="s">
        <v>1411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1412</v>
      </c>
      <c r="D13" s="80" t="s">
        <v>1413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1414</v>
      </c>
      <c r="D14" s="83" t="s">
        <v>1415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1416</v>
      </c>
      <c r="D15" s="80" t="s">
        <v>1417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1418</v>
      </c>
      <c r="D16" s="83" t="s">
        <v>1419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1420</v>
      </c>
      <c r="D17" s="80" t="s">
        <v>1421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1422</v>
      </c>
      <c r="D18" s="83" t="s">
        <v>1423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1424</v>
      </c>
      <c r="D19" s="80" t="s">
        <v>1425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1426</v>
      </c>
      <c r="D20" s="83" t="s">
        <v>1427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1428</v>
      </c>
      <c r="D21" s="80" t="s">
        <v>1429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1430</v>
      </c>
      <c r="D22" s="83" t="s">
        <v>1431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</sheetData>
  <mergeCells count="1">
    <mergeCell ref="B2:V2"/>
  </mergeCells>
  <conditionalFormatting sqref="H5:R22">
    <cfRule type="cellIs" priority="2" operator="equal" aboveAverage="0" equalAverage="0" bottom="0" percent="0" rank="0" text="" dxfId="0">
      <formula>"YES"</formula>
    </cfRule>
  </conditionalFormatting>
  <conditionalFormatting sqref="G5:G22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2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2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1432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1433</v>
      </c>
      <c r="D5" s="80" t="s">
        <v>1434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1435</v>
      </c>
      <c r="D6" s="83" t="s">
        <v>1436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1437</v>
      </c>
      <c r="D7" s="80" t="s">
        <v>1438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1439</v>
      </c>
      <c r="D8" s="83" t="s">
        <v>1440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1441</v>
      </c>
      <c r="D9" s="80" t="s">
        <v>1442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1443</v>
      </c>
      <c r="D10" s="83" t="s">
        <v>1444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1445</v>
      </c>
      <c r="D11" s="80" t="s">
        <v>1446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1447</v>
      </c>
      <c r="D12" s="83" t="s">
        <v>1448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1449</v>
      </c>
      <c r="D13" s="80" t="s">
        <v>1450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1451</v>
      </c>
      <c r="D14" s="83" t="s">
        <v>1452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1453</v>
      </c>
      <c r="D15" s="80" t="s">
        <v>1454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1455</v>
      </c>
      <c r="D16" s="83" t="s">
        <v>1456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1457</v>
      </c>
      <c r="D17" s="80" t="s">
        <v>1458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1459</v>
      </c>
      <c r="D18" s="83" t="s">
        <v>1460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1461</v>
      </c>
      <c r="D19" s="80" t="s">
        <v>1462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</sheetData>
  <mergeCells count="1">
    <mergeCell ref="B2:V2"/>
  </mergeCells>
  <conditionalFormatting sqref="H5:R19">
    <cfRule type="cellIs" priority="2" operator="equal" aboveAverage="0" equalAverage="0" bottom="0" percent="0" rank="0" text="" dxfId="0">
      <formula>"YES"</formula>
    </cfRule>
  </conditionalFormatting>
  <conditionalFormatting sqref="G5:G19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19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19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1463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1464</v>
      </c>
      <c r="D5" s="80" t="s">
        <v>1465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1466</v>
      </c>
      <c r="D6" s="83" t="s">
        <v>1467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1468</v>
      </c>
      <c r="D7" s="80" t="s">
        <v>1469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1470</v>
      </c>
      <c r="D8" s="83" t="s">
        <v>1471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</sheetData>
  <mergeCells count="1">
    <mergeCell ref="B2:V2"/>
  </mergeCells>
  <conditionalFormatting sqref="H5:R8">
    <cfRule type="cellIs" priority="2" operator="equal" aboveAverage="0" equalAverage="0" bottom="0" percent="0" rank="0" text="" dxfId="0">
      <formula>"YES"</formula>
    </cfRule>
  </conditionalFormatting>
  <conditionalFormatting sqref="G5:G8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8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8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1472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1473</v>
      </c>
      <c r="D5" s="80" t="s">
        <v>1474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1475</v>
      </c>
      <c r="D6" s="83" t="s">
        <v>1476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1477</v>
      </c>
      <c r="D7" s="80" t="s">
        <v>1478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1479</v>
      </c>
      <c r="D8" s="83" t="s">
        <v>1480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1481</v>
      </c>
      <c r="D9" s="80" t="s">
        <v>1482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1483</v>
      </c>
      <c r="D10" s="83" t="s">
        <v>1484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1485</v>
      </c>
      <c r="D11" s="80" t="s">
        <v>1486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1487</v>
      </c>
      <c r="D12" s="83" t="s">
        <v>1488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1489</v>
      </c>
      <c r="D13" s="80" t="s">
        <v>1490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1491</v>
      </c>
      <c r="D14" s="83" t="s">
        <v>1492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1493</v>
      </c>
      <c r="D15" s="80" t="s">
        <v>1494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1495</v>
      </c>
      <c r="D16" s="83" t="s">
        <v>1496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1497</v>
      </c>
      <c r="D17" s="80" t="s">
        <v>1498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1499</v>
      </c>
      <c r="D18" s="83" t="s">
        <v>1500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1501</v>
      </c>
      <c r="D19" s="80" t="s">
        <v>1502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1503</v>
      </c>
      <c r="D20" s="83" t="s">
        <v>1504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1505</v>
      </c>
      <c r="D21" s="80" t="s">
        <v>1506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1507</v>
      </c>
      <c r="D22" s="83" t="s">
        <v>1508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1509</v>
      </c>
      <c r="D23" s="80" t="s">
        <v>1510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1"/>
    <col collapsed="false" customWidth="true" hidden="false" outlineLevel="0" max="19" min="19" style="1" width="8"/>
    <col collapsed="false" customWidth="true" hidden="false" outlineLevel="0" max="20" min="20" style="1" width="12"/>
    <col collapsed="false" customWidth="true" hidden="false" outlineLevel="0" max="21" min="21" style="1" width="28"/>
    <col collapsed="false" customWidth="true" hidden="false" outlineLevel="0" max="22" min="2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78" t="s">
        <v>1511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customFormat="false" ht="7.5" hidden="false" customHeight="true" outlineLevel="0" collapsed="false"/>
    <row r="4" customFormat="false" ht="39.75" hidden="false" customHeight="true" outlineLevel="0" collapsed="false">
      <c r="B4" s="79" t="s">
        <v>137</v>
      </c>
      <c r="C4" s="79" t="s">
        <v>138</v>
      </c>
      <c r="D4" s="79" t="s">
        <v>240</v>
      </c>
      <c r="E4" s="79" t="s">
        <v>139</v>
      </c>
      <c r="F4" s="79" t="s">
        <v>140</v>
      </c>
      <c r="G4" s="79" t="s">
        <v>141</v>
      </c>
      <c r="H4" s="79" t="s">
        <v>241</v>
      </c>
      <c r="I4" s="79" t="s">
        <v>242</v>
      </c>
      <c r="J4" s="79" t="s">
        <v>243</v>
      </c>
      <c r="K4" s="79" t="s">
        <v>244</v>
      </c>
      <c r="L4" s="79" t="s">
        <v>245</v>
      </c>
      <c r="M4" s="79" t="s">
        <v>246</v>
      </c>
      <c r="N4" s="79" t="s">
        <v>247</v>
      </c>
      <c r="O4" s="79" t="s">
        <v>248</v>
      </c>
      <c r="P4" s="79" t="s">
        <v>249</v>
      </c>
      <c r="Q4" s="79" t="s">
        <v>250</v>
      </c>
      <c r="R4" s="79" t="s">
        <v>251</v>
      </c>
      <c r="S4" s="79" t="s">
        <v>252</v>
      </c>
      <c r="T4" s="79" t="s">
        <v>253</v>
      </c>
      <c r="U4" s="79" t="s">
        <v>155</v>
      </c>
      <c r="V4" s="79" t="s">
        <v>156</v>
      </c>
    </row>
    <row r="5" customFormat="false" ht="18" hidden="false" customHeight="true" outlineLevel="0" collapsed="false">
      <c r="B5" s="80" t="n">
        <v>1</v>
      </c>
      <c r="C5" s="81" t="s">
        <v>1512</v>
      </c>
      <c r="D5" s="80" t="s">
        <v>1513</v>
      </c>
      <c r="E5" s="80"/>
      <c r="F5" s="80"/>
      <c r="G5" s="80" t="s">
        <v>5</v>
      </c>
      <c r="H5" s="80" t="s">
        <v>161</v>
      </c>
      <c r="I5" s="80" t="s">
        <v>161</v>
      </c>
      <c r="J5" s="80" t="s">
        <v>161</v>
      </c>
      <c r="K5" s="80" t="s">
        <v>161</v>
      </c>
      <c r="L5" s="80" t="s">
        <v>161</v>
      </c>
      <c r="M5" s="80" t="s">
        <v>161</v>
      </c>
      <c r="N5" s="80" t="s">
        <v>161</v>
      </c>
      <c r="O5" s="80" t="s">
        <v>161</v>
      </c>
      <c r="P5" s="80" t="s">
        <v>161</v>
      </c>
      <c r="Q5" s="80" t="s">
        <v>161</v>
      </c>
      <c r="R5" s="80" t="s">
        <v>161</v>
      </c>
      <c r="S5" s="82" t="n">
        <f aca="false">COUNTIF(H5:R5,"YES")</f>
        <v>0</v>
      </c>
      <c r="T5" s="80"/>
      <c r="U5" s="80"/>
      <c r="V5" s="80"/>
    </row>
    <row r="6" customFormat="false" ht="18" hidden="false" customHeight="true" outlineLevel="0" collapsed="false">
      <c r="B6" s="83" t="n">
        <v>2</v>
      </c>
      <c r="C6" s="84" t="s">
        <v>1514</v>
      </c>
      <c r="D6" s="83" t="s">
        <v>1515</v>
      </c>
      <c r="E6" s="83"/>
      <c r="F6" s="83"/>
      <c r="G6" s="83" t="s">
        <v>5</v>
      </c>
      <c r="H6" s="83" t="s">
        <v>161</v>
      </c>
      <c r="I6" s="83" t="s">
        <v>161</v>
      </c>
      <c r="J6" s="83" t="s">
        <v>161</v>
      </c>
      <c r="K6" s="83" t="s">
        <v>161</v>
      </c>
      <c r="L6" s="83" t="s">
        <v>161</v>
      </c>
      <c r="M6" s="83" t="s">
        <v>161</v>
      </c>
      <c r="N6" s="83" t="s">
        <v>161</v>
      </c>
      <c r="O6" s="83" t="s">
        <v>161</v>
      </c>
      <c r="P6" s="83" t="s">
        <v>161</v>
      </c>
      <c r="Q6" s="83" t="s">
        <v>161</v>
      </c>
      <c r="R6" s="83" t="s">
        <v>161</v>
      </c>
      <c r="S6" s="85" t="n">
        <f aca="false">COUNTIF(H6:R6,"YES")</f>
        <v>0</v>
      </c>
      <c r="T6" s="83"/>
      <c r="U6" s="83"/>
      <c r="V6" s="83"/>
    </row>
    <row r="7" customFormat="false" ht="18" hidden="false" customHeight="true" outlineLevel="0" collapsed="false">
      <c r="B7" s="80" t="n">
        <v>3</v>
      </c>
      <c r="C7" s="81" t="s">
        <v>1516</v>
      </c>
      <c r="D7" s="80" t="s">
        <v>1517</v>
      </c>
      <c r="E7" s="80"/>
      <c r="F7" s="80"/>
      <c r="G7" s="80" t="s">
        <v>5</v>
      </c>
      <c r="H7" s="80" t="s">
        <v>161</v>
      </c>
      <c r="I7" s="80" t="s">
        <v>161</v>
      </c>
      <c r="J7" s="80" t="s">
        <v>161</v>
      </c>
      <c r="K7" s="80" t="s">
        <v>161</v>
      </c>
      <c r="L7" s="80" t="s">
        <v>161</v>
      </c>
      <c r="M7" s="80" t="s">
        <v>161</v>
      </c>
      <c r="N7" s="80" t="s">
        <v>161</v>
      </c>
      <c r="O7" s="80" t="s">
        <v>161</v>
      </c>
      <c r="P7" s="80" t="s">
        <v>161</v>
      </c>
      <c r="Q7" s="80" t="s">
        <v>161</v>
      </c>
      <c r="R7" s="80" t="s">
        <v>161</v>
      </c>
      <c r="S7" s="82" t="n">
        <f aca="false">COUNTIF(H7:R7,"YES")</f>
        <v>0</v>
      </c>
      <c r="T7" s="80"/>
      <c r="U7" s="80"/>
      <c r="V7" s="80"/>
    </row>
    <row r="8" customFormat="false" ht="18" hidden="false" customHeight="true" outlineLevel="0" collapsed="false">
      <c r="B8" s="83" t="n">
        <v>4</v>
      </c>
      <c r="C8" s="84" t="s">
        <v>1518</v>
      </c>
      <c r="D8" s="83" t="s">
        <v>1519</v>
      </c>
      <c r="E8" s="83"/>
      <c r="F8" s="83"/>
      <c r="G8" s="83" t="s">
        <v>5</v>
      </c>
      <c r="H8" s="83" t="s">
        <v>161</v>
      </c>
      <c r="I8" s="83" t="s">
        <v>161</v>
      </c>
      <c r="J8" s="83" t="s">
        <v>161</v>
      </c>
      <c r="K8" s="83" t="s">
        <v>161</v>
      </c>
      <c r="L8" s="83" t="s">
        <v>161</v>
      </c>
      <c r="M8" s="83" t="s">
        <v>161</v>
      </c>
      <c r="N8" s="83" t="s">
        <v>161</v>
      </c>
      <c r="O8" s="83" t="s">
        <v>161</v>
      </c>
      <c r="P8" s="83" t="s">
        <v>161</v>
      </c>
      <c r="Q8" s="83" t="s">
        <v>161</v>
      </c>
      <c r="R8" s="83" t="s">
        <v>161</v>
      </c>
      <c r="S8" s="85" t="n">
        <f aca="false">COUNTIF(H8:R8,"YES")</f>
        <v>0</v>
      </c>
      <c r="T8" s="83"/>
      <c r="U8" s="83"/>
      <c r="V8" s="83"/>
    </row>
    <row r="9" customFormat="false" ht="18" hidden="false" customHeight="true" outlineLevel="0" collapsed="false">
      <c r="B9" s="80" t="n">
        <v>5</v>
      </c>
      <c r="C9" s="81" t="s">
        <v>1520</v>
      </c>
      <c r="D9" s="80" t="s">
        <v>1521</v>
      </c>
      <c r="E9" s="80"/>
      <c r="F9" s="80"/>
      <c r="G9" s="80" t="s">
        <v>5</v>
      </c>
      <c r="H9" s="80" t="s">
        <v>161</v>
      </c>
      <c r="I9" s="80" t="s">
        <v>161</v>
      </c>
      <c r="J9" s="80" t="s">
        <v>161</v>
      </c>
      <c r="K9" s="80" t="s">
        <v>161</v>
      </c>
      <c r="L9" s="80" t="s">
        <v>161</v>
      </c>
      <c r="M9" s="80" t="s">
        <v>161</v>
      </c>
      <c r="N9" s="80" t="s">
        <v>161</v>
      </c>
      <c r="O9" s="80" t="s">
        <v>161</v>
      </c>
      <c r="P9" s="80" t="s">
        <v>161</v>
      </c>
      <c r="Q9" s="80" t="s">
        <v>161</v>
      </c>
      <c r="R9" s="80" t="s">
        <v>161</v>
      </c>
      <c r="S9" s="82" t="n">
        <f aca="false">COUNTIF(H9:R9,"YES")</f>
        <v>0</v>
      </c>
      <c r="T9" s="80"/>
      <c r="U9" s="80"/>
      <c r="V9" s="80"/>
    </row>
    <row r="10" customFormat="false" ht="18" hidden="false" customHeight="true" outlineLevel="0" collapsed="false">
      <c r="B10" s="83" t="n">
        <v>6</v>
      </c>
      <c r="C10" s="84" t="s">
        <v>1522</v>
      </c>
      <c r="D10" s="83" t="s">
        <v>1523</v>
      </c>
      <c r="E10" s="83"/>
      <c r="F10" s="83"/>
      <c r="G10" s="83" t="s">
        <v>5</v>
      </c>
      <c r="H10" s="83" t="s">
        <v>161</v>
      </c>
      <c r="I10" s="83" t="s">
        <v>161</v>
      </c>
      <c r="J10" s="83" t="s">
        <v>161</v>
      </c>
      <c r="K10" s="83" t="s">
        <v>161</v>
      </c>
      <c r="L10" s="83" t="s">
        <v>161</v>
      </c>
      <c r="M10" s="83" t="s">
        <v>161</v>
      </c>
      <c r="N10" s="83" t="s">
        <v>161</v>
      </c>
      <c r="O10" s="83" t="s">
        <v>161</v>
      </c>
      <c r="P10" s="83" t="s">
        <v>161</v>
      </c>
      <c r="Q10" s="83" t="s">
        <v>161</v>
      </c>
      <c r="R10" s="83" t="s">
        <v>161</v>
      </c>
      <c r="S10" s="85" t="n">
        <f aca="false">COUNTIF(H10:R10,"YES")</f>
        <v>0</v>
      </c>
      <c r="T10" s="83"/>
      <c r="U10" s="83"/>
      <c r="V10" s="83"/>
    </row>
    <row r="11" customFormat="false" ht="18" hidden="false" customHeight="true" outlineLevel="0" collapsed="false">
      <c r="B11" s="80" t="n">
        <v>7</v>
      </c>
      <c r="C11" s="81" t="s">
        <v>1524</v>
      </c>
      <c r="D11" s="80" t="s">
        <v>1525</v>
      </c>
      <c r="E11" s="80"/>
      <c r="F11" s="80"/>
      <c r="G11" s="80" t="s">
        <v>5</v>
      </c>
      <c r="H11" s="80" t="s">
        <v>161</v>
      </c>
      <c r="I11" s="80" t="s">
        <v>161</v>
      </c>
      <c r="J11" s="80" t="s">
        <v>161</v>
      </c>
      <c r="K11" s="80" t="s">
        <v>161</v>
      </c>
      <c r="L11" s="80" t="s">
        <v>161</v>
      </c>
      <c r="M11" s="80" t="s">
        <v>161</v>
      </c>
      <c r="N11" s="80" t="s">
        <v>161</v>
      </c>
      <c r="O11" s="80" t="s">
        <v>161</v>
      </c>
      <c r="P11" s="80" t="s">
        <v>161</v>
      </c>
      <c r="Q11" s="80" t="s">
        <v>161</v>
      </c>
      <c r="R11" s="80" t="s">
        <v>161</v>
      </c>
      <c r="S11" s="82" t="n">
        <f aca="false">COUNTIF(H11:R11,"YES")</f>
        <v>0</v>
      </c>
      <c r="T11" s="80"/>
      <c r="U11" s="80"/>
      <c r="V11" s="80"/>
    </row>
    <row r="12" customFormat="false" ht="18" hidden="false" customHeight="true" outlineLevel="0" collapsed="false">
      <c r="B12" s="83" t="n">
        <v>8</v>
      </c>
      <c r="C12" s="84" t="s">
        <v>1526</v>
      </c>
      <c r="D12" s="83" t="s">
        <v>1527</v>
      </c>
      <c r="E12" s="83"/>
      <c r="F12" s="83"/>
      <c r="G12" s="83" t="s">
        <v>5</v>
      </c>
      <c r="H12" s="83" t="s">
        <v>161</v>
      </c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5" t="n">
        <f aca="false">COUNTIF(H12:R12,"YES")</f>
        <v>0</v>
      </c>
      <c r="T12" s="83"/>
      <c r="U12" s="83"/>
      <c r="V12" s="83"/>
    </row>
    <row r="13" customFormat="false" ht="18" hidden="false" customHeight="true" outlineLevel="0" collapsed="false">
      <c r="B13" s="80" t="n">
        <v>9</v>
      </c>
      <c r="C13" s="81" t="s">
        <v>1528</v>
      </c>
      <c r="D13" s="80" t="s">
        <v>1529</v>
      </c>
      <c r="E13" s="80"/>
      <c r="F13" s="80"/>
      <c r="G13" s="80" t="s">
        <v>5</v>
      </c>
      <c r="H13" s="80" t="s">
        <v>161</v>
      </c>
      <c r="I13" s="80" t="s">
        <v>161</v>
      </c>
      <c r="J13" s="80" t="s">
        <v>161</v>
      </c>
      <c r="K13" s="80" t="s">
        <v>161</v>
      </c>
      <c r="L13" s="80" t="s">
        <v>161</v>
      </c>
      <c r="M13" s="80" t="s">
        <v>161</v>
      </c>
      <c r="N13" s="80" t="s">
        <v>161</v>
      </c>
      <c r="O13" s="80" t="s">
        <v>161</v>
      </c>
      <c r="P13" s="80" t="s">
        <v>161</v>
      </c>
      <c r="Q13" s="80" t="s">
        <v>161</v>
      </c>
      <c r="R13" s="80" t="s">
        <v>161</v>
      </c>
      <c r="S13" s="82" t="n">
        <f aca="false">COUNTIF(H13:R13,"YES")</f>
        <v>0</v>
      </c>
      <c r="T13" s="80"/>
      <c r="U13" s="80"/>
      <c r="V13" s="80"/>
    </row>
    <row r="14" customFormat="false" ht="18" hidden="false" customHeight="true" outlineLevel="0" collapsed="false">
      <c r="B14" s="83" t="n">
        <v>10</v>
      </c>
      <c r="C14" s="84" t="s">
        <v>1530</v>
      </c>
      <c r="D14" s="83" t="s">
        <v>1531</v>
      </c>
      <c r="E14" s="83"/>
      <c r="F14" s="83"/>
      <c r="G14" s="83" t="s">
        <v>5</v>
      </c>
      <c r="H14" s="83" t="s">
        <v>161</v>
      </c>
      <c r="I14" s="83" t="s">
        <v>161</v>
      </c>
      <c r="J14" s="83" t="s">
        <v>161</v>
      </c>
      <c r="K14" s="83" t="s">
        <v>161</v>
      </c>
      <c r="L14" s="83" t="s">
        <v>161</v>
      </c>
      <c r="M14" s="83" t="s">
        <v>161</v>
      </c>
      <c r="N14" s="83" t="s">
        <v>161</v>
      </c>
      <c r="O14" s="83" t="s">
        <v>161</v>
      </c>
      <c r="P14" s="83" t="s">
        <v>161</v>
      </c>
      <c r="Q14" s="83" t="s">
        <v>161</v>
      </c>
      <c r="R14" s="83" t="s">
        <v>161</v>
      </c>
      <c r="S14" s="85" t="n">
        <f aca="false">COUNTIF(H14:R14,"YES")</f>
        <v>0</v>
      </c>
      <c r="T14" s="83"/>
      <c r="U14" s="83"/>
      <c r="V14" s="83"/>
    </row>
    <row r="15" customFormat="false" ht="18" hidden="false" customHeight="true" outlineLevel="0" collapsed="false">
      <c r="B15" s="80" t="n">
        <v>11</v>
      </c>
      <c r="C15" s="81" t="s">
        <v>1532</v>
      </c>
      <c r="D15" s="80" t="s">
        <v>1533</v>
      </c>
      <c r="E15" s="80"/>
      <c r="F15" s="80"/>
      <c r="G15" s="80" t="s">
        <v>5</v>
      </c>
      <c r="H15" s="80" t="s">
        <v>161</v>
      </c>
      <c r="I15" s="80" t="s">
        <v>161</v>
      </c>
      <c r="J15" s="80" t="s">
        <v>161</v>
      </c>
      <c r="K15" s="80" t="s">
        <v>161</v>
      </c>
      <c r="L15" s="80" t="s">
        <v>161</v>
      </c>
      <c r="M15" s="80" t="s">
        <v>161</v>
      </c>
      <c r="N15" s="80" t="s">
        <v>161</v>
      </c>
      <c r="O15" s="80" t="s">
        <v>161</v>
      </c>
      <c r="P15" s="80" t="s">
        <v>161</v>
      </c>
      <c r="Q15" s="80" t="s">
        <v>161</v>
      </c>
      <c r="R15" s="80" t="s">
        <v>161</v>
      </c>
      <c r="S15" s="82" t="n">
        <f aca="false">COUNTIF(H15:R15,"YES")</f>
        <v>0</v>
      </c>
      <c r="T15" s="80"/>
      <c r="U15" s="80"/>
      <c r="V15" s="80"/>
    </row>
    <row r="16" customFormat="false" ht="18" hidden="false" customHeight="true" outlineLevel="0" collapsed="false">
      <c r="B16" s="83" t="n">
        <v>12</v>
      </c>
      <c r="C16" s="84" t="s">
        <v>1534</v>
      </c>
      <c r="D16" s="83" t="s">
        <v>1535</v>
      </c>
      <c r="E16" s="83"/>
      <c r="F16" s="83"/>
      <c r="G16" s="83" t="s">
        <v>5</v>
      </c>
      <c r="H16" s="83" t="s">
        <v>161</v>
      </c>
      <c r="I16" s="83" t="s">
        <v>161</v>
      </c>
      <c r="J16" s="83" t="s">
        <v>161</v>
      </c>
      <c r="K16" s="83" t="s">
        <v>161</v>
      </c>
      <c r="L16" s="83" t="s">
        <v>161</v>
      </c>
      <c r="M16" s="83" t="s">
        <v>161</v>
      </c>
      <c r="N16" s="83" t="s">
        <v>161</v>
      </c>
      <c r="O16" s="83" t="s">
        <v>161</v>
      </c>
      <c r="P16" s="83" t="s">
        <v>161</v>
      </c>
      <c r="Q16" s="83" t="s">
        <v>161</v>
      </c>
      <c r="R16" s="83" t="s">
        <v>161</v>
      </c>
      <c r="S16" s="85" t="n">
        <f aca="false">COUNTIF(H16:R16,"YES")</f>
        <v>0</v>
      </c>
      <c r="T16" s="83"/>
      <c r="U16" s="83"/>
      <c r="V16" s="83"/>
    </row>
    <row r="17" customFormat="false" ht="18" hidden="false" customHeight="true" outlineLevel="0" collapsed="false">
      <c r="B17" s="80" t="n">
        <v>13</v>
      </c>
      <c r="C17" s="81" t="s">
        <v>1536</v>
      </c>
      <c r="D17" s="80" t="s">
        <v>1537</v>
      </c>
      <c r="E17" s="80"/>
      <c r="F17" s="80"/>
      <c r="G17" s="80" t="s">
        <v>5</v>
      </c>
      <c r="H17" s="80" t="s">
        <v>161</v>
      </c>
      <c r="I17" s="80" t="s">
        <v>161</v>
      </c>
      <c r="J17" s="80" t="s">
        <v>161</v>
      </c>
      <c r="K17" s="80" t="s">
        <v>161</v>
      </c>
      <c r="L17" s="80" t="s">
        <v>161</v>
      </c>
      <c r="M17" s="80" t="s">
        <v>161</v>
      </c>
      <c r="N17" s="80" t="s">
        <v>161</v>
      </c>
      <c r="O17" s="80" t="s">
        <v>161</v>
      </c>
      <c r="P17" s="80" t="s">
        <v>161</v>
      </c>
      <c r="Q17" s="80" t="s">
        <v>161</v>
      </c>
      <c r="R17" s="80" t="s">
        <v>161</v>
      </c>
      <c r="S17" s="82" t="n">
        <f aca="false">COUNTIF(H17:R17,"YES")</f>
        <v>0</v>
      </c>
      <c r="T17" s="80"/>
      <c r="U17" s="80"/>
      <c r="V17" s="80"/>
    </row>
    <row r="18" customFormat="false" ht="18" hidden="false" customHeight="true" outlineLevel="0" collapsed="false">
      <c r="B18" s="83" t="n">
        <v>14</v>
      </c>
      <c r="C18" s="84" t="s">
        <v>1538</v>
      </c>
      <c r="D18" s="83" t="s">
        <v>1539</v>
      </c>
      <c r="E18" s="83"/>
      <c r="F18" s="83"/>
      <c r="G18" s="83" t="s">
        <v>5</v>
      </c>
      <c r="H18" s="83" t="s">
        <v>161</v>
      </c>
      <c r="I18" s="83" t="s">
        <v>161</v>
      </c>
      <c r="J18" s="83" t="s">
        <v>161</v>
      </c>
      <c r="K18" s="83" t="s">
        <v>161</v>
      </c>
      <c r="L18" s="83" t="s">
        <v>161</v>
      </c>
      <c r="M18" s="83" t="s">
        <v>161</v>
      </c>
      <c r="N18" s="83" t="s">
        <v>161</v>
      </c>
      <c r="O18" s="83" t="s">
        <v>161</v>
      </c>
      <c r="P18" s="83" t="s">
        <v>161</v>
      </c>
      <c r="Q18" s="83" t="s">
        <v>161</v>
      </c>
      <c r="R18" s="83" t="s">
        <v>161</v>
      </c>
      <c r="S18" s="85" t="n">
        <f aca="false">COUNTIF(H18:R18,"YES")</f>
        <v>0</v>
      </c>
      <c r="T18" s="83"/>
      <c r="U18" s="83"/>
      <c r="V18" s="83"/>
    </row>
    <row r="19" customFormat="false" ht="18" hidden="false" customHeight="true" outlineLevel="0" collapsed="false">
      <c r="B19" s="80" t="n">
        <v>15</v>
      </c>
      <c r="C19" s="81" t="s">
        <v>1540</v>
      </c>
      <c r="D19" s="80" t="s">
        <v>1541</v>
      </c>
      <c r="E19" s="80"/>
      <c r="F19" s="80"/>
      <c r="G19" s="80" t="s">
        <v>5</v>
      </c>
      <c r="H19" s="80" t="s">
        <v>161</v>
      </c>
      <c r="I19" s="80" t="s">
        <v>161</v>
      </c>
      <c r="J19" s="80" t="s">
        <v>161</v>
      </c>
      <c r="K19" s="80" t="s">
        <v>161</v>
      </c>
      <c r="L19" s="80" t="s">
        <v>161</v>
      </c>
      <c r="M19" s="80" t="s">
        <v>161</v>
      </c>
      <c r="N19" s="80" t="s">
        <v>161</v>
      </c>
      <c r="O19" s="80" t="s">
        <v>161</v>
      </c>
      <c r="P19" s="80" t="s">
        <v>161</v>
      </c>
      <c r="Q19" s="80" t="s">
        <v>161</v>
      </c>
      <c r="R19" s="80" t="s">
        <v>161</v>
      </c>
      <c r="S19" s="82" t="n">
        <f aca="false">COUNTIF(H19:R19,"YES")</f>
        <v>0</v>
      </c>
      <c r="T19" s="80"/>
      <c r="U19" s="80"/>
      <c r="V19" s="80"/>
    </row>
    <row r="20" customFormat="false" ht="18" hidden="false" customHeight="true" outlineLevel="0" collapsed="false">
      <c r="B20" s="83" t="n">
        <v>16</v>
      </c>
      <c r="C20" s="84" t="s">
        <v>1542</v>
      </c>
      <c r="D20" s="83" t="s">
        <v>1543</v>
      </c>
      <c r="E20" s="83"/>
      <c r="F20" s="83"/>
      <c r="G20" s="83" t="s">
        <v>5</v>
      </c>
      <c r="H20" s="83" t="s">
        <v>161</v>
      </c>
      <c r="I20" s="83" t="s">
        <v>161</v>
      </c>
      <c r="J20" s="83" t="s">
        <v>161</v>
      </c>
      <c r="K20" s="83" t="s">
        <v>161</v>
      </c>
      <c r="L20" s="83" t="s">
        <v>161</v>
      </c>
      <c r="M20" s="83" t="s">
        <v>161</v>
      </c>
      <c r="N20" s="83" t="s">
        <v>161</v>
      </c>
      <c r="O20" s="83" t="s">
        <v>161</v>
      </c>
      <c r="P20" s="83" t="s">
        <v>161</v>
      </c>
      <c r="Q20" s="83" t="s">
        <v>161</v>
      </c>
      <c r="R20" s="83" t="s">
        <v>161</v>
      </c>
      <c r="S20" s="85" t="n">
        <f aca="false">COUNTIF(H20:R20,"YES")</f>
        <v>0</v>
      </c>
      <c r="T20" s="83"/>
      <c r="U20" s="83"/>
      <c r="V20" s="83"/>
    </row>
    <row r="21" customFormat="false" ht="18" hidden="false" customHeight="true" outlineLevel="0" collapsed="false">
      <c r="B21" s="80" t="n">
        <v>17</v>
      </c>
      <c r="C21" s="81" t="s">
        <v>1544</v>
      </c>
      <c r="D21" s="80" t="s">
        <v>1545</v>
      </c>
      <c r="E21" s="80"/>
      <c r="F21" s="80"/>
      <c r="G21" s="80" t="s">
        <v>5</v>
      </c>
      <c r="H21" s="80" t="s">
        <v>161</v>
      </c>
      <c r="I21" s="80" t="s">
        <v>161</v>
      </c>
      <c r="J21" s="80" t="s">
        <v>161</v>
      </c>
      <c r="K21" s="80" t="s">
        <v>161</v>
      </c>
      <c r="L21" s="80" t="s">
        <v>161</v>
      </c>
      <c r="M21" s="80" t="s">
        <v>161</v>
      </c>
      <c r="N21" s="80" t="s">
        <v>161</v>
      </c>
      <c r="O21" s="80" t="s">
        <v>161</v>
      </c>
      <c r="P21" s="80" t="s">
        <v>161</v>
      </c>
      <c r="Q21" s="80" t="s">
        <v>161</v>
      </c>
      <c r="R21" s="80" t="s">
        <v>161</v>
      </c>
      <c r="S21" s="82" t="n">
        <f aca="false">COUNTIF(H21:R21,"YES")</f>
        <v>0</v>
      </c>
      <c r="T21" s="80"/>
      <c r="U21" s="80"/>
      <c r="V21" s="80"/>
    </row>
    <row r="22" customFormat="false" ht="18" hidden="false" customHeight="true" outlineLevel="0" collapsed="false">
      <c r="B22" s="83" t="n">
        <v>18</v>
      </c>
      <c r="C22" s="84" t="s">
        <v>1546</v>
      </c>
      <c r="D22" s="83" t="s">
        <v>1547</v>
      </c>
      <c r="E22" s="83"/>
      <c r="F22" s="83"/>
      <c r="G22" s="83" t="s">
        <v>5</v>
      </c>
      <c r="H22" s="83" t="s">
        <v>161</v>
      </c>
      <c r="I22" s="83" t="s">
        <v>161</v>
      </c>
      <c r="J22" s="83" t="s">
        <v>161</v>
      </c>
      <c r="K22" s="83" t="s">
        <v>161</v>
      </c>
      <c r="L22" s="83" t="s">
        <v>161</v>
      </c>
      <c r="M22" s="83" t="s">
        <v>161</v>
      </c>
      <c r="N22" s="83" t="s">
        <v>161</v>
      </c>
      <c r="O22" s="83" t="s">
        <v>161</v>
      </c>
      <c r="P22" s="83" t="s">
        <v>161</v>
      </c>
      <c r="Q22" s="83" t="s">
        <v>161</v>
      </c>
      <c r="R22" s="83" t="s">
        <v>161</v>
      </c>
      <c r="S22" s="85" t="n">
        <f aca="false">COUNTIF(H22:R22,"YES")</f>
        <v>0</v>
      </c>
      <c r="T22" s="83"/>
      <c r="U22" s="83"/>
      <c r="V22" s="83"/>
    </row>
    <row r="23" customFormat="false" ht="18" hidden="false" customHeight="true" outlineLevel="0" collapsed="false">
      <c r="B23" s="80" t="n">
        <v>19</v>
      </c>
      <c r="C23" s="81" t="s">
        <v>1546</v>
      </c>
      <c r="D23" s="80" t="s">
        <v>1547</v>
      </c>
      <c r="E23" s="80"/>
      <c r="F23" s="80"/>
      <c r="G23" s="80" t="s">
        <v>5</v>
      </c>
      <c r="H23" s="80" t="s">
        <v>161</v>
      </c>
      <c r="I23" s="80" t="s">
        <v>161</v>
      </c>
      <c r="J23" s="80" t="s">
        <v>161</v>
      </c>
      <c r="K23" s="80" t="s">
        <v>161</v>
      </c>
      <c r="L23" s="80" t="s">
        <v>161</v>
      </c>
      <c r="M23" s="80" t="s">
        <v>161</v>
      </c>
      <c r="N23" s="80" t="s">
        <v>161</v>
      </c>
      <c r="O23" s="80" t="s">
        <v>161</v>
      </c>
      <c r="P23" s="80" t="s">
        <v>161</v>
      </c>
      <c r="Q23" s="80" t="s">
        <v>161</v>
      </c>
      <c r="R23" s="80" t="s">
        <v>161</v>
      </c>
      <c r="S23" s="82" t="n">
        <f aca="false">COUNTIF(H23:R23,"YES")</f>
        <v>0</v>
      </c>
      <c r="T23" s="80"/>
      <c r="U23" s="80"/>
      <c r="V23" s="80"/>
    </row>
  </sheetData>
  <mergeCells count="1">
    <mergeCell ref="B2:V2"/>
  </mergeCells>
  <conditionalFormatting sqref="H5:R23">
    <cfRule type="cellIs" priority="2" operator="equal" aboveAverage="0" equalAverage="0" bottom="0" percent="0" rank="0" text="" dxfId="0">
      <formula>"YES"</formula>
    </cfRule>
  </conditionalFormatting>
  <conditionalFormatting sqref="G5:G23">
    <cfRule type="containsText" priority="3" operator="containsText" aboveAverage="0" equalAverage="0" bottom="0" percent="0" rank="0" text="GREEN" dxfId="1">
      <formula>NOT(ISERROR(SEARCH("GREEN",G5)))</formula>
    </cfRule>
    <cfRule type="containsText" priority="4" operator="containsText" aboveAverage="0" equalAverage="0" bottom="0" percent="0" rank="0" text="YELLOW" dxfId="2">
      <formula>NOT(ISERROR(SEARCH("YELLOW",G5)))</formula>
    </cfRule>
    <cfRule type="containsText" priority="5" operator="containsText" aboveAverage="0" equalAverage="0" bottom="0" percent="0" rank="0" text="RED" dxfId="3">
      <formula>NOT(ISERROR(SEARCH("RED",G5)))</formula>
    </cfRule>
    <cfRule type="containsText" priority="6" operator="containsText" aboveAverage="0" equalAverage="0" bottom="0" percent="0" rank="0" text="BLACK" dxfId="4">
      <formula>NOT(ISERROR(SEARCH("BLACK",G5)))</formula>
    </cfRule>
  </conditionalFormatting>
  <conditionalFormatting sqref="S5:S23">
    <cfRule type="cellIs" priority="7" operator="between" aboveAverage="0" equalAverage="0" bottom="0" percent="0" rank="0" text="" dxfId="1">
      <formula>0</formula>
      <formula>2</formula>
    </cfRule>
    <cfRule type="cellIs" priority="8" operator="between" aboveAverage="0" equalAverage="0" bottom="0" percent="0" rank="0" text="" dxfId="2">
      <formula>3</formula>
      <formula>5</formula>
    </cfRule>
    <cfRule type="cellIs" priority="9" operator="between" aboveAverage="0" equalAverage="0" bottom="0" percent="0" rank="0" text="" dxfId="3">
      <formula>6</formula>
      <formula>8</formula>
    </cfRule>
    <cfRule type="cellIs" priority="10" operator="between" aboveAverage="0" equalAverage="0" bottom="0" percent="0" rank="0" text="" dxfId="4">
      <formula>9</formula>
      <formula>99</formula>
    </cfRule>
  </conditionalFormatting>
  <dataValidations count="2">
    <dataValidation allowBlank="true" errorStyle="stop" operator="between" showDropDown="false" showErrorMessage="false" showInputMessage="false" sqref="G5:G23" type="list">
      <formula1>"🟢 GREEN,🟡 YELLOW,🔴 RED,⚫ BLACK"</formula1>
      <formula2>0</formula2>
    </dataValidation>
    <dataValidation allowBlank="true" errorStyle="stop" operator="between" showDropDown="false" showErrorMessage="false" showInputMessage="false" sqref="H5:R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2026-04-15T12:34:29Z</dcterms:created>
  <dc:creator>openpyxl</dc:creator>
  <dc:description/>
  <dc:language>en-US</dc:language>
  <cp:lastModifiedBy>Ice Almazan (She, Her)</cp:lastModifiedBy>
  <dcterms:modified xsi:type="dcterms:W3CDTF">2026-04-20T21:56:23Z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